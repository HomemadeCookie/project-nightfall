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tuazon\Documents\Migs\QSR\4th Quarter\WEBPOSTING\A. 2024 Summary Statistics\"/>
    </mc:Choice>
  </mc:AlternateContent>
  <xr:revisionPtr revIDLastSave="0" documentId="13_ncr:1_{FD5AE095-FC45-48A5-963B-F58962E94EE6}" xr6:coauthVersionLast="47" xr6:coauthVersionMax="47" xr10:uidLastSave="{00000000-0000-0000-0000-000000000000}"/>
  <bookViews>
    <workbookView xWindow="-120" yWindow="-120" windowWidth="29040" windowHeight="15840" xr2:uid="{768CC16B-7495-45AC-993C-DAD52AB577A9}"/>
  </bookViews>
  <sheets>
    <sheet name="summary" sheetId="2" r:id="rId1"/>
  </sheets>
  <externalReferences>
    <externalReference r:id="rId2"/>
  </externalReferences>
  <definedNames>
    <definedName name="_xlnm.Print_Area" localSheetId="0">summary!$A$1:$AH$61</definedName>
    <definedName name="_xlnm.Print_Titles" localSheetId="0">summary!$A:$D,summary!$1:$7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54" i="2" l="1"/>
  <c r="AA54" i="2"/>
  <c r="Z54" i="2"/>
  <c r="Y54" i="2"/>
  <c r="X54" i="2"/>
  <c r="W54" i="2" s="1"/>
  <c r="V54" i="2"/>
  <c r="U54" i="2"/>
  <c r="AG54" i="2" s="1"/>
  <c r="T54" i="2"/>
  <c r="S54" i="2"/>
  <c r="AE54" i="2" s="1"/>
  <c r="R54" i="2"/>
  <c r="P54" i="2"/>
  <c r="O54" i="2"/>
  <c r="N54" i="2"/>
  <c r="M54" i="2"/>
  <c r="L54" i="2"/>
  <c r="K54" i="2" s="1"/>
  <c r="J54" i="2"/>
  <c r="AH54" i="2" s="1"/>
  <c r="I54" i="2"/>
  <c r="H54" i="2"/>
  <c r="AF54" i="2" s="1"/>
  <c r="G54" i="2"/>
  <c r="F54" i="2"/>
  <c r="AD54" i="2" s="1"/>
  <c r="AC54" i="2" s="1"/>
  <c r="AH53" i="2"/>
  <c r="AB53" i="2"/>
  <c r="AA53" i="2"/>
  <c r="Z53" i="2"/>
  <c r="Y53" i="2"/>
  <c r="X53" i="2"/>
  <c r="W53" i="2"/>
  <c r="V53" i="2"/>
  <c r="U53" i="2"/>
  <c r="T53" i="2"/>
  <c r="S53" i="2"/>
  <c r="R53" i="2"/>
  <c r="Q53" i="2" s="1"/>
  <c r="P53" i="2"/>
  <c r="O53" i="2"/>
  <c r="N53" i="2"/>
  <c r="M53" i="2"/>
  <c r="L53" i="2"/>
  <c r="K53" i="2"/>
  <c r="J53" i="2"/>
  <c r="I53" i="2"/>
  <c r="H53" i="2"/>
  <c r="AF53" i="2" s="1"/>
  <c r="G53" i="2"/>
  <c r="F53" i="2"/>
  <c r="AD53" i="2" s="1"/>
  <c r="AB52" i="2"/>
  <c r="AA52" i="2"/>
  <c r="Z52" i="2"/>
  <c r="Y52" i="2"/>
  <c r="X52" i="2"/>
  <c r="W52" i="2" s="1"/>
  <c r="V52" i="2"/>
  <c r="U52" i="2"/>
  <c r="AG52" i="2" s="1"/>
  <c r="T52" i="2"/>
  <c r="S52" i="2"/>
  <c r="S50" i="2" s="1"/>
  <c r="R52" i="2"/>
  <c r="P52" i="2"/>
  <c r="O52" i="2"/>
  <c r="N52" i="2"/>
  <c r="M52" i="2"/>
  <c r="L52" i="2"/>
  <c r="J52" i="2"/>
  <c r="AH52" i="2" s="1"/>
  <c r="I52" i="2"/>
  <c r="I50" i="2" s="1"/>
  <c r="I42" i="2" s="1"/>
  <c r="H52" i="2"/>
  <c r="AF52" i="2" s="1"/>
  <c r="G52" i="2"/>
  <c r="AE52" i="2" s="1"/>
  <c r="F52" i="2"/>
  <c r="E52" i="2" s="1"/>
  <c r="AB51" i="2"/>
  <c r="AA51" i="2"/>
  <c r="AA50" i="2" s="1"/>
  <c r="Z51" i="2"/>
  <c r="Z50" i="2" s="1"/>
  <c r="Y51" i="2"/>
  <c r="Y50" i="2" s="1"/>
  <c r="X51" i="2"/>
  <c r="W51" i="2"/>
  <c r="W50" i="2" s="1"/>
  <c r="V51" i="2"/>
  <c r="V50" i="2" s="1"/>
  <c r="U51" i="2"/>
  <c r="T51" i="2"/>
  <c r="S51" i="2"/>
  <c r="R51" i="2"/>
  <c r="P51" i="2"/>
  <c r="O51" i="2"/>
  <c r="O50" i="2" s="1"/>
  <c r="N51" i="2"/>
  <c r="N50" i="2" s="1"/>
  <c r="M51" i="2"/>
  <c r="M50" i="2" s="1"/>
  <c r="L51" i="2"/>
  <c r="L50" i="2" s="1"/>
  <c r="J51" i="2"/>
  <c r="J50" i="2" s="1"/>
  <c r="I51" i="2"/>
  <c r="H51" i="2"/>
  <c r="AF51" i="2" s="1"/>
  <c r="G51" i="2"/>
  <c r="AE51" i="2" s="1"/>
  <c r="F51" i="2"/>
  <c r="AD51" i="2" s="1"/>
  <c r="AB50" i="2"/>
  <c r="T50" i="2"/>
  <c r="R50" i="2"/>
  <c r="P50" i="2"/>
  <c r="AB48" i="2"/>
  <c r="AA48" i="2"/>
  <c r="W48" i="2" s="1"/>
  <c r="Z48" i="2"/>
  <c r="Y48" i="2"/>
  <c r="Y44" i="2" s="1"/>
  <c r="Y42" i="2" s="1"/>
  <c r="X48" i="2"/>
  <c r="X44" i="2" s="1"/>
  <c r="V48" i="2"/>
  <c r="U48" i="2"/>
  <c r="T48" i="2"/>
  <c r="S48" i="2"/>
  <c r="R48" i="2"/>
  <c r="Q48" i="2" s="1"/>
  <c r="P48" i="2"/>
  <c r="O48" i="2"/>
  <c r="N48" i="2"/>
  <c r="K48" i="2" s="1"/>
  <c r="M48" i="2"/>
  <c r="L48" i="2"/>
  <c r="L44" i="2" s="1"/>
  <c r="L42" i="2" s="1"/>
  <c r="J48" i="2"/>
  <c r="AH48" i="2" s="1"/>
  <c r="I48" i="2"/>
  <c r="H48" i="2"/>
  <c r="G48" i="2"/>
  <c r="F48" i="2"/>
  <c r="AG47" i="2"/>
  <c r="AE47" i="2"/>
  <c r="AB47" i="2"/>
  <c r="AA47" i="2"/>
  <c r="Z47" i="2"/>
  <c r="Y47" i="2"/>
  <c r="X47" i="2"/>
  <c r="V47" i="2"/>
  <c r="U47" i="2"/>
  <c r="T47" i="2"/>
  <c r="S47" i="2"/>
  <c r="R47" i="2"/>
  <c r="AD47" i="2" s="1"/>
  <c r="P47" i="2"/>
  <c r="AH47" i="2" s="1"/>
  <c r="O47" i="2"/>
  <c r="N47" i="2"/>
  <c r="M47" i="2"/>
  <c r="L47" i="2"/>
  <c r="J47" i="2"/>
  <c r="I47" i="2"/>
  <c r="H47" i="2"/>
  <c r="AF47" i="2" s="1"/>
  <c r="G47" i="2"/>
  <c r="F47" i="2"/>
  <c r="E47" i="2"/>
  <c r="AB46" i="2"/>
  <c r="AB44" i="2" s="1"/>
  <c r="AB42" i="2" s="1"/>
  <c r="AA46" i="2"/>
  <c r="AA44" i="2" s="1"/>
  <c r="AA42" i="2" s="1"/>
  <c r="Z46" i="2"/>
  <c r="W46" i="2" s="1"/>
  <c r="Y46" i="2"/>
  <c r="X46" i="2"/>
  <c r="V46" i="2"/>
  <c r="U46" i="2"/>
  <c r="T46" i="2"/>
  <c r="S46" i="2"/>
  <c r="R46" i="2"/>
  <c r="Q46" i="2" s="1"/>
  <c r="P46" i="2"/>
  <c r="O46" i="2"/>
  <c r="N46" i="2"/>
  <c r="M46" i="2"/>
  <c r="M44" i="2" s="1"/>
  <c r="M42" i="2" s="1"/>
  <c r="L46" i="2"/>
  <c r="J46" i="2"/>
  <c r="AH46" i="2" s="1"/>
  <c r="I46" i="2"/>
  <c r="H46" i="2"/>
  <c r="G46" i="2"/>
  <c r="F46" i="2"/>
  <c r="AH45" i="2"/>
  <c r="AB45" i="2"/>
  <c r="AA45" i="2"/>
  <c r="Z45" i="2"/>
  <c r="Y45" i="2"/>
  <c r="X45" i="2"/>
  <c r="W45" i="2" s="1"/>
  <c r="V45" i="2"/>
  <c r="U45" i="2"/>
  <c r="AG45" i="2" s="1"/>
  <c r="T45" i="2"/>
  <c r="S45" i="2"/>
  <c r="S44" i="2" s="1"/>
  <c r="S42" i="2" s="1"/>
  <c r="R45" i="2"/>
  <c r="Q45" i="2" s="1"/>
  <c r="P45" i="2"/>
  <c r="O45" i="2"/>
  <c r="N45" i="2"/>
  <c r="M45" i="2"/>
  <c r="L45" i="2"/>
  <c r="K45" i="2" s="1"/>
  <c r="J45" i="2"/>
  <c r="J44" i="2" s="1"/>
  <c r="J42" i="2" s="1"/>
  <c r="I45" i="2"/>
  <c r="H45" i="2"/>
  <c r="H44" i="2" s="1"/>
  <c r="G45" i="2"/>
  <c r="F45" i="2"/>
  <c r="F44" i="2" s="1"/>
  <c r="V44" i="2"/>
  <c r="V42" i="2" s="1"/>
  <c r="P44" i="2"/>
  <c r="O44" i="2"/>
  <c r="O42" i="2" s="1"/>
  <c r="I44" i="2"/>
  <c r="P42" i="2"/>
  <c r="AB40" i="2"/>
  <c r="AA40" i="2"/>
  <c r="Z40" i="2"/>
  <c r="Y40" i="2"/>
  <c r="X40" i="2"/>
  <c r="W40" i="2" s="1"/>
  <c r="V40" i="2"/>
  <c r="V37" i="2" s="1"/>
  <c r="U40" i="2"/>
  <c r="T40" i="2"/>
  <c r="S40" i="2"/>
  <c r="R40" i="2"/>
  <c r="P40" i="2"/>
  <c r="O40" i="2"/>
  <c r="N40" i="2"/>
  <c r="M40" i="2"/>
  <c r="K40" i="2" s="1"/>
  <c r="L40" i="2"/>
  <c r="J40" i="2"/>
  <c r="AH40" i="2" s="1"/>
  <c r="I40" i="2"/>
  <c r="AG40" i="2" s="1"/>
  <c r="H40" i="2"/>
  <c r="G40" i="2"/>
  <c r="F40" i="2"/>
  <c r="AF39" i="2"/>
  <c r="AD39" i="2"/>
  <c r="AB39" i="2"/>
  <c r="AH39" i="2" s="1"/>
  <c r="AA39" i="2"/>
  <c r="Z39" i="2"/>
  <c r="Y39" i="2"/>
  <c r="X39" i="2"/>
  <c r="V39" i="2"/>
  <c r="U39" i="2"/>
  <c r="T39" i="2"/>
  <c r="S39" i="2"/>
  <c r="S37" i="2" s="1"/>
  <c r="R39" i="2"/>
  <c r="Q39" i="2"/>
  <c r="P39" i="2"/>
  <c r="O39" i="2"/>
  <c r="AG39" i="2" s="1"/>
  <c r="N39" i="2"/>
  <c r="M39" i="2"/>
  <c r="L39" i="2"/>
  <c r="J39" i="2"/>
  <c r="I39" i="2"/>
  <c r="H39" i="2"/>
  <c r="H37" i="2" s="1"/>
  <c r="G39" i="2"/>
  <c r="G37" i="2" s="1"/>
  <c r="F39" i="2"/>
  <c r="F37" i="2" s="1"/>
  <c r="AH38" i="2"/>
  <c r="AH37" i="2" s="1"/>
  <c r="AB38" i="2"/>
  <c r="AB37" i="2" s="1"/>
  <c r="AA38" i="2"/>
  <c r="AA37" i="2" s="1"/>
  <c r="Z38" i="2"/>
  <c r="W38" i="2" s="1"/>
  <c r="Y38" i="2"/>
  <c r="X38" i="2"/>
  <c r="V38" i="2"/>
  <c r="U38" i="2"/>
  <c r="T38" i="2"/>
  <c r="S38" i="2"/>
  <c r="R38" i="2"/>
  <c r="Q38" i="2" s="1"/>
  <c r="P38" i="2"/>
  <c r="O38" i="2"/>
  <c r="N38" i="2"/>
  <c r="N37" i="2" s="1"/>
  <c r="M38" i="2"/>
  <c r="K38" i="2" s="1"/>
  <c r="L38" i="2"/>
  <c r="J38" i="2"/>
  <c r="I38" i="2"/>
  <c r="AG38" i="2" s="1"/>
  <c r="H38" i="2"/>
  <c r="G38" i="2"/>
  <c r="F38" i="2"/>
  <c r="U37" i="2"/>
  <c r="T37" i="2"/>
  <c r="R37" i="2"/>
  <c r="P37" i="2"/>
  <c r="O37" i="2"/>
  <c r="J37" i="2"/>
  <c r="AB35" i="2"/>
  <c r="AH35" i="2" s="1"/>
  <c r="AA35" i="2"/>
  <c r="Z35" i="2"/>
  <c r="Z32" i="2" s="1"/>
  <c r="Y35" i="2"/>
  <c r="Y32" i="2" s="1"/>
  <c r="X35" i="2"/>
  <c r="W35" i="2" s="1"/>
  <c r="V35" i="2"/>
  <c r="U35" i="2"/>
  <c r="T35" i="2"/>
  <c r="S35" i="2"/>
  <c r="R35" i="2"/>
  <c r="Q35" i="2" s="1"/>
  <c r="P35" i="2"/>
  <c r="O35" i="2"/>
  <c r="N35" i="2"/>
  <c r="M35" i="2"/>
  <c r="M32" i="2" s="1"/>
  <c r="L35" i="2"/>
  <c r="K35" i="2" s="1"/>
  <c r="J35" i="2"/>
  <c r="I35" i="2"/>
  <c r="AG35" i="2" s="1"/>
  <c r="H35" i="2"/>
  <c r="G35" i="2"/>
  <c r="F35" i="2"/>
  <c r="AF34" i="2"/>
  <c r="AB34" i="2"/>
  <c r="AB32" i="2" s="1"/>
  <c r="AB25" i="2" s="1"/>
  <c r="AA34" i="2"/>
  <c r="Z34" i="2"/>
  <c r="Y34" i="2"/>
  <c r="X34" i="2"/>
  <c r="V34" i="2"/>
  <c r="U34" i="2"/>
  <c r="U32" i="2" s="1"/>
  <c r="T34" i="2"/>
  <c r="S34" i="2"/>
  <c r="S32" i="2" s="1"/>
  <c r="R34" i="2"/>
  <c r="P34" i="2"/>
  <c r="P32" i="2" s="1"/>
  <c r="O34" i="2"/>
  <c r="O32" i="2" s="1"/>
  <c r="N34" i="2"/>
  <c r="M34" i="2"/>
  <c r="L34" i="2"/>
  <c r="J34" i="2"/>
  <c r="I34" i="2"/>
  <c r="AG34" i="2" s="1"/>
  <c r="AG32" i="2" s="1"/>
  <c r="H34" i="2"/>
  <c r="G34" i="2"/>
  <c r="G32" i="2" s="1"/>
  <c r="F34" i="2"/>
  <c r="E34" i="2" s="1"/>
  <c r="AA32" i="2"/>
  <c r="V32" i="2"/>
  <c r="T32" i="2"/>
  <c r="R32" i="2"/>
  <c r="N32" i="2"/>
  <c r="J32" i="2"/>
  <c r="H32" i="2"/>
  <c r="AB30" i="2"/>
  <c r="AA30" i="2"/>
  <c r="Z30" i="2"/>
  <c r="Y30" i="2"/>
  <c r="X30" i="2"/>
  <c r="W30" i="2" s="1"/>
  <c r="V30" i="2"/>
  <c r="U30" i="2"/>
  <c r="AG30" i="2" s="1"/>
  <c r="T30" i="2"/>
  <c r="T27" i="2" s="1"/>
  <c r="T25" i="2" s="1"/>
  <c r="S30" i="2"/>
  <c r="Q30" i="2" s="1"/>
  <c r="R30" i="2"/>
  <c r="P30" i="2"/>
  <c r="O30" i="2"/>
  <c r="N30" i="2"/>
  <c r="M30" i="2"/>
  <c r="L30" i="2"/>
  <c r="J30" i="2"/>
  <c r="AH30" i="2" s="1"/>
  <c r="I30" i="2"/>
  <c r="H30" i="2"/>
  <c r="AF30" i="2" s="1"/>
  <c r="G30" i="2"/>
  <c r="AE30" i="2" s="1"/>
  <c r="F30" i="2"/>
  <c r="E30" i="2" s="1"/>
  <c r="AB29" i="2"/>
  <c r="AA29" i="2"/>
  <c r="Z29" i="2"/>
  <c r="W29" i="2" s="1"/>
  <c r="W27" i="2" s="1"/>
  <c r="Y29" i="2"/>
  <c r="Y27" i="2" s="1"/>
  <c r="Y25" i="2" s="1"/>
  <c r="X29" i="2"/>
  <c r="X27" i="2" s="1"/>
  <c r="V29" i="2"/>
  <c r="V27" i="2" s="1"/>
  <c r="V25" i="2" s="1"/>
  <c r="U29" i="2"/>
  <c r="T29" i="2"/>
  <c r="S29" i="2"/>
  <c r="R29" i="2"/>
  <c r="P29" i="2"/>
  <c r="O29" i="2"/>
  <c r="O27" i="2" s="1"/>
  <c r="N29" i="2"/>
  <c r="M29" i="2"/>
  <c r="M27" i="2" s="1"/>
  <c r="M25" i="2" s="1"/>
  <c r="L29" i="2"/>
  <c r="J29" i="2"/>
  <c r="J27" i="2" s="1"/>
  <c r="J25" i="2" s="1"/>
  <c r="I29" i="2"/>
  <c r="I27" i="2" s="1"/>
  <c r="H29" i="2"/>
  <c r="G29" i="2"/>
  <c r="F29" i="2"/>
  <c r="AB27" i="2"/>
  <c r="AA27" i="2"/>
  <c r="R27" i="2"/>
  <c r="R25" i="2" s="1"/>
  <c r="P27" i="2"/>
  <c r="N27" i="2"/>
  <c r="L27" i="2"/>
  <c r="AA25" i="2"/>
  <c r="N25" i="2"/>
  <c r="AF23" i="2"/>
  <c r="AB23" i="2"/>
  <c r="AB20" i="2" s="1"/>
  <c r="AB13" i="2" s="1"/>
  <c r="AA23" i="2"/>
  <c r="Z23" i="2"/>
  <c r="Y23" i="2"/>
  <c r="X23" i="2"/>
  <c r="V23" i="2"/>
  <c r="U23" i="2"/>
  <c r="T23" i="2"/>
  <c r="S23" i="2"/>
  <c r="AE23" i="2" s="1"/>
  <c r="R23" i="2"/>
  <c r="P23" i="2"/>
  <c r="P20" i="2" s="1"/>
  <c r="O23" i="2"/>
  <c r="O20" i="2" s="1"/>
  <c r="O13" i="2" s="1"/>
  <c r="N23" i="2"/>
  <c r="M23" i="2"/>
  <c r="L23" i="2"/>
  <c r="J23" i="2"/>
  <c r="I23" i="2"/>
  <c r="AG23" i="2" s="1"/>
  <c r="H23" i="2"/>
  <c r="G23" i="2"/>
  <c r="F23" i="2"/>
  <c r="E23" i="2" s="1"/>
  <c r="AB22" i="2"/>
  <c r="AA22" i="2"/>
  <c r="AA20" i="2" s="1"/>
  <c r="Z22" i="2"/>
  <c r="Y22" i="2"/>
  <c r="Y20" i="2" s="1"/>
  <c r="X22" i="2"/>
  <c r="W22" i="2" s="1"/>
  <c r="V22" i="2"/>
  <c r="AH22" i="2" s="1"/>
  <c r="U22" i="2"/>
  <c r="T22" i="2"/>
  <c r="AF22" i="2" s="1"/>
  <c r="AF20" i="2" s="1"/>
  <c r="S22" i="2"/>
  <c r="R22" i="2"/>
  <c r="R20" i="2" s="1"/>
  <c r="P22" i="2"/>
  <c r="O22" i="2"/>
  <c r="N22" i="2"/>
  <c r="N20" i="2" s="1"/>
  <c r="M22" i="2"/>
  <c r="L22" i="2"/>
  <c r="L20" i="2" s="1"/>
  <c r="K22" i="2"/>
  <c r="J22" i="2"/>
  <c r="I22" i="2"/>
  <c r="AG22" i="2" s="1"/>
  <c r="H22" i="2"/>
  <c r="G22" i="2"/>
  <c r="AE22" i="2" s="1"/>
  <c r="F22" i="2"/>
  <c r="AD22" i="2" s="1"/>
  <c r="Z20" i="2"/>
  <c r="X20" i="2"/>
  <c r="U20" i="2"/>
  <c r="M20" i="2"/>
  <c r="J20" i="2"/>
  <c r="H20" i="2"/>
  <c r="AD18" i="2"/>
  <c r="AB18" i="2"/>
  <c r="AA18" i="2"/>
  <c r="AG18" i="2" s="1"/>
  <c r="Z18" i="2"/>
  <c r="Z15" i="2" s="1"/>
  <c r="Z13" i="2" s="1"/>
  <c r="Y18" i="2"/>
  <c r="W18" i="2" s="1"/>
  <c r="X18" i="2"/>
  <c r="V18" i="2"/>
  <c r="U18" i="2"/>
  <c r="T18" i="2"/>
  <c r="S18" i="2"/>
  <c r="R18" i="2"/>
  <c r="P18" i="2"/>
  <c r="AH18" i="2" s="1"/>
  <c r="O18" i="2"/>
  <c r="N18" i="2"/>
  <c r="N15" i="2" s="1"/>
  <c r="M18" i="2"/>
  <c r="M15" i="2" s="1"/>
  <c r="M13" i="2" s="1"/>
  <c r="L18" i="2"/>
  <c r="K18" i="2" s="1"/>
  <c r="J18" i="2"/>
  <c r="I18" i="2"/>
  <c r="H18" i="2"/>
  <c r="G18" i="2"/>
  <c r="AE18" i="2" s="1"/>
  <c r="F18" i="2"/>
  <c r="E18" i="2" s="1"/>
  <c r="AG17" i="2"/>
  <c r="AG15" i="2" s="1"/>
  <c r="AD17" i="2"/>
  <c r="AB17" i="2"/>
  <c r="AA17" i="2"/>
  <c r="Z17" i="2"/>
  <c r="Y17" i="2"/>
  <c r="Y15" i="2" s="1"/>
  <c r="X17" i="2"/>
  <c r="W17" i="2" s="1"/>
  <c r="V17" i="2"/>
  <c r="U17" i="2"/>
  <c r="T17" i="2"/>
  <c r="Q17" i="2" s="1"/>
  <c r="S17" i="2"/>
  <c r="S15" i="2" s="1"/>
  <c r="R17" i="2"/>
  <c r="R15" i="2" s="1"/>
  <c r="R13" i="2" s="1"/>
  <c r="P17" i="2"/>
  <c r="P15" i="2" s="1"/>
  <c r="P13" i="2" s="1"/>
  <c r="O17" i="2"/>
  <c r="N17" i="2"/>
  <c r="AF17" i="2" s="1"/>
  <c r="M17" i="2"/>
  <c r="L17" i="2"/>
  <c r="L15" i="2" s="1"/>
  <c r="L13" i="2" s="1"/>
  <c r="J17" i="2"/>
  <c r="J15" i="2" s="1"/>
  <c r="J13" i="2" s="1"/>
  <c r="I17" i="2"/>
  <c r="H17" i="2"/>
  <c r="G17" i="2"/>
  <c r="AE17" i="2" s="1"/>
  <c r="F17" i="2"/>
  <c r="F15" i="2" s="1"/>
  <c r="AB15" i="2"/>
  <c r="X15" i="2"/>
  <c r="X13" i="2" s="1"/>
  <c r="V15" i="2"/>
  <c r="U15" i="2"/>
  <c r="U13" i="2" s="1"/>
  <c r="O15" i="2"/>
  <c r="I15" i="2"/>
  <c r="H15" i="2"/>
  <c r="H13" i="2" s="1"/>
  <c r="AF11" i="2"/>
  <c r="AB11" i="2"/>
  <c r="AB9" i="2" s="1"/>
  <c r="AA11" i="2"/>
  <c r="W11" i="2" s="1"/>
  <c r="Z11" i="2"/>
  <c r="Y11" i="2"/>
  <c r="X11" i="2"/>
  <c r="V11" i="2"/>
  <c r="U11" i="2"/>
  <c r="T11" i="2"/>
  <c r="S11" i="2"/>
  <c r="AE11" i="2" s="1"/>
  <c r="R11" i="2"/>
  <c r="P11" i="2"/>
  <c r="AH11" i="2" s="1"/>
  <c r="O11" i="2"/>
  <c r="O9" i="2" s="1"/>
  <c r="N11" i="2"/>
  <c r="K11" i="2" s="1"/>
  <c r="K9" i="2" s="1"/>
  <c r="M11" i="2"/>
  <c r="L11" i="2"/>
  <c r="J11" i="2"/>
  <c r="I11" i="2"/>
  <c r="AG11" i="2" s="1"/>
  <c r="H11" i="2"/>
  <c r="G11" i="2"/>
  <c r="F11" i="2"/>
  <c r="E11" i="2" s="1"/>
  <c r="AF10" i="2"/>
  <c r="AF9" i="2" s="1"/>
  <c r="AB10" i="2"/>
  <c r="AA10" i="2"/>
  <c r="AA9" i="2" s="1"/>
  <c r="Z10" i="2"/>
  <c r="Y10" i="2"/>
  <c r="Y9" i="2" s="1"/>
  <c r="X10" i="2"/>
  <c r="V10" i="2"/>
  <c r="V9" i="2" s="1"/>
  <c r="U10" i="2"/>
  <c r="U9" i="2" s="1"/>
  <c r="T10" i="2"/>
  <c r="T9" i="2" s="1"/>
  <c r="S10" i="2"/>
  <c r="AE10" i="2" s="1"/>
  <c r="AE9" i="2" s="1"/>
  <c r="R10" i="2"/>
  <c r="Q10" i="2" s="1"/>
  <c r="P10" i="2"/>
  <c r="AH10" i="2" s="1"/>
  <c r="O10" i="2"/>
  <c r="N10" i="2"/>
  <c r="N9" i="2" s="1"/>
  <c r="M10" i="2"/>
  <c r="L10" i="2"/>
  <c r="K10" i="2" s="1"/>
  <c r="J10" i="2"/>
  <c r="I10" i="2"/>
  <c r="AG10" i="2" s="1"/>
  <c r="H10" i="2"/>
  <c r="H9" i="2" s="1"/>
  <c r="G10" i="2"/>
  <c r="G9" i="2" s="1"/>
  <c r="F10" i="2"/>
  <c r="E10" i="2" s="1"/>
  <c r="E9" i="2" s="1"/>
  <c r="Z9" i="2"/>
  <c r="X9" i="2"/>
  <c r="M9" i="2"/>
  <c r="J9" i="2"/>
  <c r="AE15" i="2" l="1"/>
  <c r="AE20" i="2"/>
  <c r="W15" i="2"/>
  <c r="AE50" i="2"/>
  <c r="S13" i="2"/>
  <c r="AC22" i="2"/>
  <c r="AD20" i="2"/>
  <c r="AG9" i="2"/>
  <c r="E32" i="2"/>
  <c r="AC47" i="2"/>
  <c r="Y13" i="2"/>
  <c r="AG20" i="2"/>
  <c r="AG37" i="2"/>
  <c r="AF50" i="2"/>
  <c r="AG13" i="2"/>
  <c r="N13" i="2"/>
  <c r="W20" i="2"/>
  <c r="X42" i="2"/>
  <c r="AH44" i="2"/>
  <c r="K37" i="2"/>
  <c r="AC39" i="2"/>
  <c r="AH9" i="2"/>
  <c r="W25" i="2"/>
  <c r="L25" i="2"/>
  <c r="P25" i="2"/>
  <c r="O25" i="2"/>
  <c r="W10" i="2"/>
  <c r="W9" i="2" s="1"/>
  <c r="AH17" i="2"/>
  <c r="AH15" i="2" s="1"/>
  <c r="Q18" i="2"/>
  <c r="Q15" i="2" s="1"/>
  <c r="Q13" i="2" s="1"/>
  <c r="K30" i="2"/>
  <c r="I32" i="2"/>
  <c r="I25" i="2" s="1"/>
  <c r="AD38" i="2"/>
  <c r="E39" i="2"/>
  <c r="AE39" i="2"/>
  <c r="AD46" i="2"/>
  <c r="U50" i="2"/>
  <c r="K51" i="2"/>
  <c r="K50" i="2" s="1"/>
  <c r="X50" i="2"/>
  <c r="K52" i="2"/>
  <c r="AG53" i="2"/>
  <c r="AF18" i="2"/>
  <c r="AF15" i="2" s="1"/>
  <c r="AF13" i="2" s="1"/>
  <c r="AH23" i="2"/>
  <c r="AH20" i="2" s="1"/>
  <c r="X32" i="2"/>
  <c r="X25" i="2" s="1"/>
  <c r="AH34" i="2"/>
  <c r="AH32" i="2" s="1"/>
  <c r="AE38" i="2"/>
  <c r="AE46" i="2"/>
  <c r="P9" i="2"/>
  <c r="AA15" i="2"/>
  <c r="AA13" i="2" s="1"/>
  <c r="S27" i="2"/>
  <c r="S25" i="2" s="1"/>
  <c r="AD29" i="2"/>
  <c r="AD35" i="2"/>
  <c r="AF38" i="2"/>
  <c r="AF46" i="2"/>
  <c r="AC18" i="2"/>
  <c r="R9" i="2"/>
  <c r="K17" i="2"/>
  <c r="K15" i="2" s="1"/>
  <c r="W23" i="2"/>
  <c r="F27" i="2"/>
  <c r="Q29" i="2"/>
  <c r="Q27" i="2" s="1"/>
  <c r="AF29" i="2"/>
  <c r="AF27" i="2" s="1"/>
  <c r="L32" i="2"/>
  <c r="W34" i="2"/>
  <c r="W32" i="2" s="1"/>
  <c r="AE35" i="2"/>
  <c r="Q40" i="2"/>
  <c r="Q37" i="2" s="1"/>
  <c r="Z44" i="2"/>
  <c r="Z42" i="2" s="1"/>
  <c r="AG46" i="2"/>
  <c r="AG44" i="2" s="1"/>
  <c r="AG42" i="2" s="1"/>
  <c r="AD48" i="2"/>
  <c r="F50" i="2"/>
  <c r="F42" i="2" s="1"/>
  <c r="F9" i="2"/>
  <c r="AD15" i="2"/>
  <c r="AD13" i="2" s="1"/>
  <c r="K23" i="2"/>
  <c r="K20" i="2" s="1"/>
  <c r="G27" i="2"/>
  <c r="G25" i="2" s="1"/>
  <c r="U27" i="2"/>
  <c r="U25" i="2" s="1"/>
  <c r="E29" i="2"/>
  <c r="E27" i="2" s="1"/>
  <c r="AG29" i="2"/>
  <c r="AG27" i="2" s="1"/>
  <c r="AG25" i="2" s="1"/>
  <c r="K34" i="2"/>
  <c r="K32" i="2" s="1"/>
  <c r="AF35" i="2"/>
  <c r="AF32" i="2" s="1"/>
  <c r="AD40" i="2"/>
  <c r="W47" i="2"/>
  <c r="W44" i="2" s="1"/>
  <c r="W42" i="2" s="1"/>
  <c r="AE48" i="2"/>
  <c r="G50" i="2"/>
  <c r="F20" i="2"/>
  <c r="F13" i="2" s="1"/>
  <c r="H27" i="2"/>
  <c r="H25" i="2" s="1"/>
  <c r="AE29" i="2"/>
  <c r="AE27" i="2" s="1"/>
  <c r="AH29" i="2"/>
  <c r="AH27" i="2" s="1"/>
  <c r="AD30" i="2"/>
  <c r="AC30" i="2" s="1"/>
  <c r="X37" i="2"/>
  <c r="W39" i="2"/>
  <c r="W37" i="2" s="1"/>
  <c r="AE40" i="2"/>
  <c r="K46" i="2"/>
  <c r="K44" i="2" s="1"/>
  <c r="K42" i="2" s="1"/>
  <c r="K47" i="2"/>
  <c r="AF48" i="2"/>
  <c r="H50" i="2"/>
  <c r="H42" i="2" s="1"/>
  <c r="AH51" i="2"/>
  <c r="AH50" i="2" s="1"/>
  <c r="Q52" i="2"/>
  <c r="AD52" i="2"/>
  <c r="AC52" i="2" s="1"/>
  <c r="S9" i="2"/>
  <c r="S20" i="2"/>
  <c r="AD10" i="2"/>
  <c r="G20" i="2"/>
  <c r="T20" i="2"/>
  <c r="I37" i="2"/>
  <c r="L37" i="2"/>
  <c r="Y37" i="2"/>
  <c r="K39" i="2"/>
  <c r="AF40" i="2"/>
  <c r="AG48" i="2"/>
  <c r="Q51" i="2"/>
  <c r="Q50" i="2" s="1"/>
  <c r="I9" i="2"/>
  <c r="G15" i="2"/>
  <c r="T15" i="2"/>
  <c r="Q22" i="2"/>
  <c r="Q20" i="2" s="1"/>
  <c r="Z27" i="2"/>
  <c r="Z25" i="2" s="1"/>
  <c r="M37" i="2"/>
  <c r="Z37" i="2"/>
  <c r="N44" i="2"/>
  <c r="N42" i="2" s="1"/>
  <c r="AD45" i="2"/>
  <c r="Q54" i="2"/>
  <c r="I20" i="2"/>
  <c r="I13" i="2" s="1"/>
  <c r="V20" i="2"/>
  <c r="V13" i="2" s="1"/>
  <c r="E22" i="2"/>
  <c r="E20" i="2" s="1"/>
  <c r="E45" i="2"/>
  <c r="R44" i="2"/>
  <c r="R42" i="2" s="1"/>
  <c r="AE45" i="2"/>
  <c r="AE44" i="2" s="1"/>
  <c r="AE42" i="2" s="1"/>
  <c r="E54" i="2"/>
  <c r="AD11" i="2"/>
  <c r="AC11" i="2" s="1"/>
  <c r="E17" i="2"/>
  <c r="E15" i="2" s="1"/>
  <c r="E13" i="2" s="1"/>
  <c r="AD23" i="2"/>
  <c r="K29" i="2"/>
  <c r="K27" i="2" s="1"/>
  <c r="K25" i="2" s="1"/>
  <c r="Q34" i="2"/>
  <c r="Q32" i="2" s="1"/>
  <c r="AD34" i="2"/>
  <c r="AF45" i="2"/>
  <c r="Q23" i="2"/>
  <c r="L9" i="2"/>
  <c r="Q11" i="2"/>
  <c r="Q9" i="2" s="1"/>
  <c r="F32" i="2"/>
  <c r="AE34" i="2"/>
  <c r="AE32" i="2" s="1"/>
  <c r="U44" i="2"/>
  <c r="U42" i="2" s="1"/>
  <c r="G44" i="2"/>
  <c r="G42" i="2" s="1"/>
  <c r="T44" i="2"/>
  <c r="T42" i="2" s="1"/>
  <c r="Q47" i="2"/>
  <c r="Q44" i="2" s="1"/>
  <c r="Q42" i="2" s="1"/>
  <c r="AG51" i="2"/>
  <c r="AG50" i="2" s="1"/>
  <c r="AE53" i="2"/>
  <c r="AC53" i="2" s="1"/>
  <c r="E35" i="2"/>
  <c r="E38" i="2"/>
  <c r="E40" i="2"/>
  <c r="E46" i="2"/>
  <c r="E48" i="2"/>
  <c r="E51" i="2"/>
  <c r="E53" i="2"/>
  <c r="T13" i="2" l="1"/>
  <c r="AC10" i="2"/>
  <c r="AC9" i="2" s="1"/>
  <c r="AD9" i="2"/>
  <c r="AH13" i="2"/>
  <c r="G13" i="2"/>
  <c r="E25" i="2"/>
  <c r="AC29" i="2"/>
  <c r="AC27" i="2" s="1"/>
  <c r="AD27" i="2"/>
  <c r="AD25" i="2" s="1"/>
  <c r="E37" i="2"/>
  <c r="E44" i="2"/>
  <c r="AC35" i="2"/>
  <c r="AC17" i="2"/>
  <c r="AC15" i="2" s="1"/>
  <c r="AF44" i="2"/>
  <c r="AF42" i="2" s="1"/>
  <c r="AH25" i="2"/>
  <c r="AC34" i="2"/>
  <c r="AC32" i="2" s="1"/>
  <c r="AD32" i="2"/>
  <c r="AE25" i="2"/>
  <c r="AF25" i="2"/>
  <c r="Q25" i="2"/>
  <c r="AC51" i="2"/>
  <c r="AC50" i="2" s="1"/>
  <c r="F25" i="2"/>
  <c r="AC46" i="2"/>
  <c r="AH42" i="2"/>
  <c r="AC23" i="2"/>
  <c r="AC20" i="2" s="1"/>
  <c r="AD44" i="2"/>
  <c r="AD42" i="2" s="1"/>
  <c r="AC45" i="2"/>
  <c r="AC44" i="2" s="1"/>
  <c r="AC42" i="2" s="1"/>
  <c r="AE37" i="2"/>
  <c r="W13" i="2"/>
  <c r="K13" i="2"/>
  <c r="E50" i="2"/>
  <c r="AC48" i="2"/>
  <c r="AC38" i="2"/>
  <c r="AC37" i="2" s="1"/>
  <c r="AD37" i="2"/>
  <c r="AD50" i="2"/>
  <c r="AC40" i="2"/>
  <c r="AE13" i="2"/>
  <c r="AF37" i="2"/>
  <c r="AC13" i="2" l="1"/>
  <c r="E42" i="2"/>
  <c r="AC25" i="2"/>
</calcChain>
</file>

<file path=xl/sharedStrings.xml><?xml version="1.0" encoding="utf-8"?>
<sst xmlns="http://schemas.openxmlformats.org/spreadsheetml/2006/main" count="77" uniqueCount="39">
  <si>
    <t>SUMMARY PORT STATISTICS</t>
  </si>
  <si>
    <t>Philippine Ports Authority</t>
  </si>
  <si>
    <t>2024</t>
  </si>
  <si>
    <t>PARTICULARS</t>
  </si>
  <si>
    <t>TOTAL</t>
  </si>
  <si>
    <t>1st Quarter</t>
  </si>
  <si>
    <t>2nd Quarter</t>
  </si>
  <si>
    <t>3rd Quarter</t>
  </si>
  <si>
    <t>4th Quarter</t>
  </si>
  <si>
    <t>GRAND TOTAL</t>
  </si>
  <si>
    <t>MANILA/ N. LUZON</t>
  </si>
  <si>
    <t>SOUTHERN LUZON</t>
  </si>
  <si>
    <t>VISAYAS</t>
  </si>
  <si>
    <t>NORTHERN MINDANAO</t>
  </si>
  <si>
    <t>SOUTHERN MINDANAO</t>
  </si>
  <si>
    <t xml:space="preserve"> 1. Shipcalls</t>
  </si>
  <si>
    <t>Domestic</t>
  </si>
  <si>
    <t>Foreign</t>
  </si>
  <si>
    <t xml:space="preserve"> 2. Cargo Throughput (m.t.)</t>
  </si>
  <si>
    <t>Inbound</t>
  </si>
  <si>
    <t>Outbound</t>
  </si>
  <si>
    <t>Import</t>
  </si>
  <si>
    <t>Export</t>
  </si>
  <si>
    <t xml:space="preserve"> 3. Container Traffic (in TEU)</t>
  </si>
  <si>
    <t xml:space="preserve"> 4. Passenger Traffic</t>
  </si>
  <si>
    <t>Disembarked</t>
  </si>
  <si>
    <t>Embarked</t>
  </si>
  <si>
    <t>Cruise Ships</t>
  </si>
  <si>
    <t>5. RoRo Traffic</t>
  </si>
  <si>
    <t>Type 1</t>
  </si>
  <si>
    <t>Type 2</t>
  </si>
  <si>
    <t>Type 3</t>
  </si>
  <si>
    <t>Type 4</t>
  </si>
  <si>
    <t>Source: Port Management Offices' Monthly Statistical Report</t>
  </si>
  <si>
    <t>Notes:</t>
  </si>
  <si>
    <t>(1) 2024 Port Statistics is a preliminary data.</t>
  </si>
  <si>
    <t>(2) Values may not add up due to rounding off.</t>
  </si>
  <si>
    <t>(3) TMOs' statistics contain only the Terminal Ports under its jurisdiction. Statistics for Other Government Ports and Private Ports are presented in lump-sum totals.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</si>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</sst>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i/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/>
    <xf numFmtId="0" fontId="2" fillId="2" borderId="0" xfId="0" applyFont="1" applyFill="1"/>
    <xf numFmtId="3" fontId="2" fillId="2" borderId="0" xfId="0" applyNumberFormat="1" applyFont="1" applyFill="1"/>
    <xf numFmtId="0" fontId="1" fillId="2" borderId="0" xfId="0" quotePrefix="1" applyFont="1" applyFill="1"/>
    <xf numFmtId="3" fontId="2" fillId="2" borderId="1" xfId="0" applyNumberFormat="1" applyFont="1" applyFill="1" applyBorder="1" applyAlignment="1">
      <alignment horizontal="centerContinuous"/>
    </xf>
    <xf numFmtId="3" fontId="2" fillId="2" borderId="2" xfId="0" applyNumberFormat="1" applyFont="1" applyFill="1" applyBorder="1"/>
    <xf numFmtId="3" fontId="2" fillId="2" borderId="10" xfId="0" applyNumberFormat="1" applyFont="1" applyFill="1" applyBorder="1" applyAlignment="1">
      <alignment horizontal="center"/>
    </xf>
    <xf numFmtId="3" fontId="2" fillId="2" borderId="10" xfId="0" applyNumberFormat="1" applyFont="1" applyFill="1" applyBorder="1" applyAlignment="1">
      <alignment horizontal="center" vertical="center"/>
    </xf>
    <xf numFmtId="3" fontId="1" fillId="2" borderId="5" xfId="0" applyNumberFormat="1" applyFont="1" applyFill="1" applyBorder="1"/>
    <xf numFmtId="4" fontId="1" fillId="2" borderId="11" xfId="0" applyNumberFormat="1" applyFont="1" applyFill="1" applyBorder="1"/>
    <xf numFmtId="3" fontId="1" fillId="2" borderId="11" xfId="0" applyNumberFormat="1" applyFont="1" applyFill="1" applyBorder="1"/>
    <xf numFmtId="3" fontId="2" fillId="2" borderId="5" xfId="0" applyNumberFormat="1" applyFont="1" applyFill="1" applyBorder="1"/>
    <xf numFmtId="4" fontId="2" fillId="2" borderId="11" xfId="0" applyNumberFormat="1" applyFont="1" applyFill="1" applyBorder="1"/>
    <xf numFmtId="3" fontId="2" fillId="2" borderId="11" xfId="0" applyNumberFormat="1" applyFont="1" applyFill="1" applyBorder="1"/>
    <xf numFmtId="3" fontId="1" fillId="2" borderId="0" xfId="0" applyNumberFormat="1" applyFont="1" applyFill="1"/>
    <xf numFmtId="3" fontId="2" fillId="2" borderId="7" xfId="0" applyNumberFormat="1" applyFont="1" applyFill="1" applyBorder="1"/>
    <xf numFmtId="3" fontId="2" fillId="2" borderId="8" xfId="0" applyNumberFormat="1" applyFont="1" applyFill="1" applyBorder="1"/>
    <xf numFmtId="3" fontId="2" fillId="2" borderId="12" xfId="0" applyNumberFormat="1" applyFont="1" applyFill="1" applyBorder="1"/>
    <xf numFmtId="3" fontId="3" fillId="2" borderId="0" xfId="0" applyNumberFormat="1" applyFont="1" applyFill="1"/>
    <xf numFmtId="3" fontId="2" fillId="2" borderId="0" xfId="0" quotePrefix="1" applyNumberFormat="1" applyFont="1" applyFill="1" applyAlignment="1">
      <alignment horizontal="center"/>
    </xf>
    <xf numFmtId="3" fontId="4" fillId="2" borderId="0" xfId="0" applyNumberFormat="1" applyFont="1" applyFill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3" fontId="2" fillId="3" borderId="4" xfId="0" applyNumberFormat="1" applyFont="1" applyFill="1" applyBorder="1" applyAlignment="1">
      <alignment horizontal="center" vertical="center" wrapText="1"/>
    </xf>
    <xf numFmtId="3" fontId="2" fillId="3" borderId="4" xfId="0" applyNumberFormat="1" applyFont="1" applyFill="1" applyBorder="1" applyAlignment="1">
      <alignment horizontal="center"/>
    </xf>
    <xf numFmtId="3" fontId="2" fillId="4" borderId="4" xfId="0" applyNumberFormat="1" applyFont="1" applyFill="1" applyBorder="1" applyAlignment="1">
      <alignment horizontal="center" vertical="center"/>
    </xf>
    <xf numFmtId="3" fontId="2" fillId="4" borderId="4" xfId="0" applyNumberFormat="1" applyFont="1" applyFill="1" applyBorder="1" applyAlignment="1">
      <alignment horizontal="center" vertical="center" wrapText="1"/>
    </xf>
    <xf numFmtId="3" fontId="2" fillId="7" borderId="4" xfId="0" applyNumberFormat="1" applyFont="1" applyFill="1" applyBorder="1" applyAlignment="1">
      <alignment horizontal="center" vertical="center" wrapText="1"/>
    </xf>
    <xf numFmtId="3" fontId="2" fillId="5" borderId="4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gtuazon\Documents\Migs\QSR\4th%20Quarter\2024%20QSR%20-%20Q4.xlsx" TargetMode="External"/><Relationship Id="rId1" Type="http://schemas.openxmlformats.org/officeDocument/2006/relationships/externalLinkPath" Target="/Users/ngtuazon/Documents/Migs/QSR/4th%20Quarter/2024%20QSR%20-%20Q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sum-ship"/>
      <sheetName val="sum-GT"/>
      <sheetName val="sum-cargo"/>
      <sheetName val="sum-pass"/>
      <sheetName val="sum-teu"/>
      <sheetName val="sum-roro"/>
      <sheetName val="shipcalls"/>
      <sheetName val="GT"/>
      <sheetName val="cargo"/>
      <sheetName val="teu"/>
      <sheetName val="passengers"/>
      <sheetName val="roro"/>
      <sheetName val="Comments"/>
      <sheetName val="Sheet1"/>
    </sheetNames>
    <sheetDataSet>
      <sheetData sheetId="0"/>
      <sheetData sheetId="1">
        <row r="10">
          <cell r="E10">
            <v>4080</v>
          </cell>
          <cell r="F10">
            <v>1087</v>
          </cell>
          <cell r="H10">
            <v>3959</v>
          </cell>
          <cell r="I10">
            <v>1100</v>
          </cell>
          <cell r="K10">
            <v>3828</v>
          </cell>
          <cell r="L10">
            <v>1022</v>
          </cell>
          <cell r="N10">
            <v>4071</v>
          </cell>
          <cell r="O10">
            <v>1008</v>
          </cell>
        </row>
        <row r="69">
          <cell r="E69">
            <v>30940</v>
          </cell>
          <cell r="F69">
            <v>586</v>
          </cell>
          <cell r="H69">
            <v>32404</v>
          </cell>
          <cell r="I69">
            <v>667</v>
          </cell>
          <cell r="K69">
            <v>29448</v>
          </cell>
          <cell r="L69">
            <v>575</v>
          </cell>
          <cell r="N69">
            <v>29353</v>
          </cell>
          <cell r="O69">
            <v>613</v>
          </cell>
        </row>
        <row r="190">
          <cell r="E190">
            <v>77784</v>
          </cell>
          <cell r="F190">
            <v>249</v>
          </cell>
          <cell r="H190">
            <v>87418</v>
          </cell>
          <cell r="I190">
            <v>301</v>
          </cell>
          <cell r="K190">
            <v>83902</v>
          </cell>
          <cell r="L190">
            <v>281</v>
          </cell>
          <cell r="N190">
            <v>81215</v>
          </cell>
          <cell r="O190">
            <v>312</v>
          </cell>
        </row>
        <row r="330">
          <cell r="E330">
            <v>15555</v>
          </cell>
          <cell r="F330">
            <v>190</v>
          </cell>
          <cell r="H330">
            <v>17409</v>
          </cell>
          <cell r="I330">
            <v>386</v>
          </cell>
          <cell r="K330">
            <v>17355</v>
          </cell>
          <cell r="L330">
            <v>472</v>
          </cell>
          <cell r="N330">
            <v>14798</v>
          </cell>
          <cell r="O330">
            <v>287</v>
          </cell>
        </row>
        <row r="399">
          <cell r="E399">
            <v>18229</v>
          </cell>
          <cell r="F399">
            <v>524</v>
          </cell>
          <cell r="H399">
            <v>19721</v>
          </cell>
          <cell r="I399">
            <v>544</v>
          </cell>
          <cell r="K399">
            <v>18953</v>
          </cell>
          <cell r="L399">
            <v>534</v>
          </cell>
          <cell r="N399">
            <v>20106</v>
          </cell>
          <cell r="O399">
            <v>541</v>
          </cell>
        </row>
      </sheetData>
      <sheetData sheetId="2"/>
      <sheetData sheetId="3">
        <row r="10">
          <cell r="F10">
            <v>2847643.2236999995</v>
          </cell>
          <cell r="G10">
            <v>5273484.4937999994</v>
          </cell>
          <cell r="I10">
            <v>12891858.274</v>
          </cell>
          <cell r="J10">
            <v>3406262.2629999998</v>
          </cell>
          <cell r="M10">
            <v>2674490.7822999996</v>
          </cell>
          <cell r="N10">
            <v>5123205.1959999995</v>
          </cell>
          <cell r="P10">
            <v>15012934.324859999</v>
          </cell>
          <cell r="Q10">
            <v>2785577.1070000003</v>
          </cell>
          <cell r="T10">
            <v>2511065.84</v>
          </cell>
          <cell r="U10">
            <v>5452299.3805</v>
          </cell>
          <cell r="W10">
            <v>15240705.1812</v>
          </cell>
          <cell r="X10">
            <v>2664636.159</v>
          </cell>
          <cell r="AA10">
            <v>2587998.6476999996</v>
          </cell>
          <cell r="AB10">
            <v>6237432.4841000009</v>
          </cell>
          <cell r="AD10">
            <v>15268057.45614</v>
          </cell>
          <cell r="AE10">
            <v>2907700.5</v>
          </cell>
        </row>
        <row r="69">
          <cell r="F69">
            <v>3514751.8272599997</v>
          </cell>
          <cell r="G69">
            <v>1278651.4577300001</v>
          </cell>
          <cell r="I69">
            <v>4825562.4139999999</v>
          </cell>
          <cell r="J69">
            <v>851140.95900000003</v>
          </cell>
          <cell r="M69">
            <v>3946324.4880292634</v>
          </cell>
          <cell r="N69">
            <v>1368296.9376100001</v>
          </cell>
          <cell r="P69">
            <v>6201950.057</v>
          </cell>
          <cell r="Q69">
            <v>1405636.1069999998</v>
          </cell>
          <cell r="T69">
            <v>3337207.0142400004</v>
          </cell>
          <cell r="U69">
            <v>1354076.48813</v>
          </cell>
          <cell r="W69">
            <v>5743987.068</v>
          </cell>
          <cell r="X69">
            <v>435122.98499999999</v>
          </cell>
          <cell r="AA69">
            <v>3593852.8335499996</v>
          </cell>
          <cell r="AB69">
            <v>1209578.99275</v>
          </cell>
          <cell r="AD69">
            <v>5970563.091</v>
          </cell>
          <cell r="AE69">
            <v>1152195.024</v>
          </cell>
        </row>
        <row r="190">
          <cell r="F190">
            <v>3329021.21416</v>
          </cell>
          <cell r="G190">
            <v>4235508.2577100005</v>
          </cell>
          <cell r="I190">
            <v>1687960.3000000003</v>
          </cell>
          <cell r="J190">
            <v>3750244.3859999999</v>
          </cell>
          <cell r="M190">
            <v>3567204.77985</v>
          </cell>
          <cell r="N190">
            <v>4433973.8295799997</v>
          </cell>
          <cell r="P190">
            <v>2304616.5550000002</v>
          </cell>
          <cell r="Q190">
            <v>6103134.1749999998</v>
          </cell>
          <cell r="T190">
            <v>3592099.7821500003</v>
          </cell>
          <cell r="U190">
            <v>3574568.7389900004</v>
          </cell>
          <cell r="W190">
            <v>1668478.1950000001</v>
          </cell>
          <cell r="X190">
            <v>4691598.9269999992</v>
          </cell>
          <cell r="AA190">
            <v>3603586.7090699999</v>
          </cell>
          <cell r="AB190">
            <v>3677356.2918500002</v>
          </cell>
          <cell r="AD190">
            <v>2022988.2999999998</v>
          </cell>
          <cell r="AE190">
            <v>4239299.74</v>
          </cell>
        </row>
        <row r="330">
          <cell r="F330">
            <v>1517071.6211813709</v>
          </cell>
          <cell r="G330">
            <v>1020053.5314368597</v>
          </cell>
          <cell r="I330">
            <v>1646107.132</v>
          </cell>
          <cell r="J330">
            <v>824729.60199999996</v>
          </cell>
          <cell r="M330">
            <v>1640399.7029192359</v>
          </cell>
          <cell r="N330">
            <v>1191839.2031478067</v>
          </cell>
          <cell r="P330">
            <v>2170218.38</v>
          </cell>
          <cell r="Q330">
            <v>11316489.456</v>
          </cell>
          <cell r="T330">
            <v>1487675.0586018446</v>
          </cell>
          <cell r="U330">
            <v>1220673.5197968634</v>
          </cell>
          <cell r="W330">
            <v>1714767.264</v>
          </cell>
          <cell r="X330">
            <v>16758637.547</v>
          </cell>
          <cell r="AA330">
            <v>1591640.8047070296</v>
          </cell>
          <cell r="AB330">
            <v>1255998.7008485394</v>
          </cell>
          <cell r="AD330">
            <v>1785588.9940000002</v>
          </cell>
          <cell r="AE330">
            <v>6265770.7589999996</v>
          </cell>
        </row>
        <row r="399">
          <cell r="F399">
            <v>1783702.655</v>
          </cell>
          <cell r="G399">
            <v>869883.27909999993</v>
          </cell>
          <cell r="I399">
            <v>2716033.4339999999</v>
          </cell>
          <cell r="J399">
            <v>1251908.0089999998</v>
          </cell>
          <cell r="M399">
            <v>2064624.3399999999</v>
          </cell>
          <cell r="N399">
            <v>1049200.3158</v>
          </cell>
          <cell r="P399">
            <v>3142883.7855000002</v>
          </cell>
          <cell r="Q399">
            <v>1705872.89</v>
          </cell>
          <cell r="T399">
            <v>1912371.6442999998</v>
          </cell>
          <cell r="U399">
            <v>897230.9879999999</v>
          </cell>
          <cell r="W399">
            <v>3450526.4190000002</v>
          </cell>
          <cell r="X399">
            <v>1884259.8900000001</v>
          </cell>
          <cell r="AA399">
            <v>1903564.3250000002</v>
          </cell>
          <cell r="AB399">
            <v>948803.62600000005</v>
          </cell>
          <cell r="AD399">
            <v>3092139.9870000002</v>
          </cell>
          <cell r="AE399">
            <v>1881482.3539999998</v>
          </cell>
        </row>
      </sheetData>
      <sheetData sheetId="4">
        <row r="10">
          <cell r="E10">
            <v>115257</v>
          </cell>
          <cell r="F10">
            <v>103413</v>
          </cell>
          <cell r="G10">
            <v>41572</v>
          </cell>
          <cell r="I10">
            <v>141794</v>
          </cell>
          <cell r="J10">
            <v>129924</v>
          </cell>
          <cell r="K10">
            <v>634</v>
          </cell>
          <cell r="M10">
            <v>116243</v>
          </cell>
          <cell r="N10">
            <v>104129</v>
          </cell>
          <cell r="O10">
            <v>5498</v>
          </cell>
          <cell r="Q10">
            <v>68043</v>
          </cell>
          <cell r="R10">
            <v>67812</v>
          </cell>
          <cell r="S10">
            <v>25400</v>
          </cell>
        </row>
        <row r="69">
          <cell r="E69">
            <v>2549289</v>
          </cell>
          <cell r="F69">
            <v>2499799</v>
          </cell>
          <cell r="G69">
            <v>28803</v>
          </cell>
          <cell r="I69">
            <v>3082256</v>
          </cell>
          <cell r="J69">
            <v>3083185</v>
          </cell>
          <cell r="K69">
            <v>755</v>
          </cell>
          <cell r="M69">
            <v>2255763</v>
          </cell>
          <cell r="N69">
            <v>2229076</v>
          </cell>
          <cell r="O69">
            <v>241</v>
          </cell>
          <cell r="Q69">
            <v>2281742</v>
          </cell>
          <cell r="R69">
            <v>2271063</v>
          </cell>
          <cell r="S69">
            <v>28254</v>
          </cell>
        </row>
        <row r="190">
          <cell r="E190">
            <v>4670477.5</v>
          </cell>
          <cell r="F190">
            <v>4668015.5</v>
          </cell>
          <cell r="G190">
            <v>2689</v>
          </cell>
          <cell r="I190">
            <v>5695540.5</v>
          </cell>
          <cell r="J190">
            <v>5565470.5</v>
          </cell>
          <cell r="K190">
            <v>204</v>
          </cell>
          <cell r="M190">
            <v>4766747</v>
          </cell>
          <cell r="N190">
            <v>4675147</v>
          </cell>
          <cell r="O190">
            <v>0</v>
          </cell>
          <cell r="Q190">
            <v>4970683</v>
          </cell>
          <cell r="R190">
            <v>4747262</v>
          </cell>
          <cell r="S190">
            <v>406</v>
          </cell>
        </row>
        <row r="330">
          <cell r="E330">
            <v>1087874</v>
          </cell>
          <cell r="F330">
            <v>1110758</v>
          </cell>
          <cell r="G330">
            <v>0</v>
          </cell>
          <cell r="I330">
            <v>1438598</v>
          </cell>
          <cell r="J330">
            <v>1427538</v>
          </cell>
          <cell r="K330">
            <v>192</v>
          </cell>
          <cell r="M330">
            <v>1246980</v>
          </cell>
          <cell r="N330">
            <v>1218073</v>
          </cell>
          <cell r="O330">
            <v>0</v>
          </cell>
          <cell r="Q330">
            <v>833866</v>
          </cell>
          <cell r="R330">
            <v>775725</v>
          </cell>
          <cell r="S330">
            <v>94</v>
          </cell>
        </row>
        <row r="399">
          <cell r="E399">
            <v>987279</v>
          </cell>
          <cell r="F399">
            <v>982139</v>
          </cell>
          <cell r="G399">
            <v>0</v>
          </cell>
          <cell r="I399">
            <v>1165048</v>
          </cell>
          <cell r="J399">
            <v>1127674</v>
          </cell>
          <cell r="K399">
            <v>0</v>
          </cell>
          <cell r="M399">
            <v>1098517</v>
          </cell>
          <cell r="N399">
            <v>1051215</v>
          </cell>
          <cell r="O399">
            <v>0</v>
          </cell>
          <cell r="Q399">
            <v>1138535</v>
          </cell>
          <cell r="R399">
            <v>1059829</v>
          </cell>
          <cell r="S399">
            <v>0</v>
          </cell>
        </row>
      </sheetData>
      <sheetData sheetId="5">
        <row r="10">
          <cell r="F10">
            <v>141598.25</v>
          </cell>
          <cell r="G10">
            <v>164087.5</v>
          </cell>
          <cell r="I10">
            <v>476490.75</v>
          </cell>
          <cell r="J10">
            <v>468689.5</v>
          </cell>
          <cell r="M10">
            <v>140196.75</v>
          </cell>
          <cell r="N10">
            <v>170395</v>
          </cell>
          <cell r="P10">
            <v>554478.75</v>
          </cell>
          <cell r="Q10">
            <v>500242.5</v>
          </cell>
          <cell r="T10">
            <v>141866.5</v>
          </cell>
          <cell r="U10">
            <v>172006.75</v>
          </cell>
          <cell r="W10">
            <v>555289</v>
          </cell>
          <cell r="X10">
            <v>523551.75</v>
          </cell>
          <cell r="AA10">
            <v>170693.5</v>
          </cell>
          <cell r="AB10">
            <v>182657.5</v>
          </cell>
          <cell r="AD10">
            <v>589457.75</v>
          </cell>
          <cell r="AE10">
            <v>551225.25</v>
          </cell>
        </row>
        <row r="69">
          <cell r="F69">
            <v>20640</v>
          </cell>
          <cell r="G69">
            <v>19749</v>
          </cell>
          <cell r="I69">
            <v>28074</v>
          </cell>
          <cell r="J69">
            <v>27888</v>
          </cell>
          <cell r="M69">
            <v>19881.5</v>
          </cell>
          <cell r="N69">
            <v>20169.5</v>
          </cell>
          <cell r="P69">
            <v>32810.75</v>
          </cell>
          <cell r="Q69">
            <v>32554.5</v>
          </cell>
          <cell r="T69">
            <v>21955.5</v>
          </cell>
          <cell r="U69">
            <v>21963.5</v>
          </cell>
          <cell r="W69">
            <v>35800.25</v>
          </cell>
          <cell r="X69">
            <v>38753.25</v>
          </cell>
          <cell r="AA69">
            <v>19837.5</v>
          </cell>
          <cell r="AB69">
            <v>21398.5</v>
          </cell>
          <cell r="AD69">
            <v>32586.25</v>
          </cell>
          <cell r="AE69">
            <v>38494.25</v>
          </cell>
        </row>
        <row r="190">
          <cell r="F190">
            <v>55636.5</v>
          </cell>
          <cell r="G190">
            <v>50654</v>
          </cell>
          <cell r="I190">
            <v>580</v>
          </cell>
          <cell r="J190">
            <v>567</v>
          </cell>
          <cell r="M190">
            <v>57775</v>
          </cell>
          <cell r="N190">
            <v>55918</v>
          </cell>
          <cell r="P190">
            <v>1718</v>
          </cell>
          <cell r="Q190">
            <v>848</v>
          </cell>
          <cell r="T190">
            <v>58753.5</v>
          </cell>
          <cell r="U190">
            <v>51411.5</v>
          </cell>
          <cell r="W190">
            <v>1766</v>
          </cell>
          <cell r="X190">
            <v>1825</v>
          </cell>
          <cell r="AA190">
            <v>59810.5</v>
          </cell>
          <cell r="AB190">
            <v>49577</v>
          </cell>
          <cell r="AD190">
            <v>1123</v>
          </cell>
          <cell r="AE190">
            <v>1045</v>
          </cell>
        </row>
        <row r="330">
          <cell r="F330">
            <v>43047.75</v>
          </cell>
          <cell r="G330">
            <v>43682.5</v>
          </cell>
          <cell r="I330">
            <v>258</v>
          </cell>
          <cell r="J330">
            <v>195</v>
          </cell>
          <cell r="M330">
            <v>43636.5</v>
          </cell>
          <cell r="N330">
            <v>44694.5</v>
          </cell>
          <cell r="P330">
            <v>0</v>
          </cell>
          <cell r="Q330">
            <v>0</v>
          </cell>
          <cell r="T330">
            <v>46844.5</v>
          </cell>
          <cell r="U330">
            <v>45204.5</v>
          </cell>
          <cell r="W330">
            <v>0</v>
          </cell>
          <cell r="X330">
            <v>0</v>
          </cell>
          <cell r="AA330">
            <v>48309.5</v>
          </cell>
          <cell r="AB330">
            <v>46198.5</v>
          </cell>
          <cell r="AD330">
            <v>0</v>
          </cell>
          <cell r="AE330">
            <v>0</v>
          </cell>
        </row>
        <row r="399">
          <cell r="F399">
            <v>59736.25</v>
          </cell>
          <cell r="G399">
            <v>44103</v>
          </cell>
          <cell r="I399">
            <v>71130.25</v>
          </cell>
          <cell r="J399">
            <v>83971.5</v>
          </cell>
          <cell r="M399">
            <v>62850</v>
          </cell>
          <cell r="N399">
            <v>44050</v>
          </cell>
          <cell r="P399">
            <v>76855.5</v>
          </cell>
          <cell r="Q399">
            <v>79518.75</v>
          </cell>
          <cell r="T399">
            <v>65203</v>
          </cell>
          <cell r="U399">
            <v>46243</v>
          </cell>
          <cell r="W399">
            <v>71854.5</v>
          </cell>
          <cell r="X399">
            <v>79382.5</v>
          </cell>
          <cell r="AA399">
            <v>71600.5</v>
          </cell>
          <cell r="AB399">
            <v>50245.25</v>
          </cell>
          <cell r="AD399">
            <v>78772.75</v>
          </cell>
          <cell r="AE399">
            <v>93523.25</v>
          </cell>
        </row>
      </sheetData>
      <sheetData sheetId="6">
        <row r="10">
          <cell r="F10">
            <v>0</v>
          </cell>
          <cell r="G10">
            <v>0</v>
          </cell>
          <cell r="H10">
            <v>0</v>
          </cell>
          <cell r="I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Q10">
            <v>0</v>
          </cell>
          <cell r="R10">
            <v>0</v>
          </cell>
          <cell r="S10">
            <v>0</v>
          </cell>
          <cell r="T10">
            <v>7</v>
          </cell>
          <cell r="V10">
            <v>0</v>
          </cell>
          <cell r="W10">
            <v>0</v>
          </cell>
          <cell r="X10">
            <v>0</v>
          </cell>
          <cell r="Y10">
            <v>6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</row>
        <row r="69">
          <cell r="F69">
            <v>67793</v>
          </cell>
          <cell r="G69">
            <v>130682</v>
          </cell>
          <cell r="H69">
            <v>63011</v>
          </cell>
          <cell r="I69">
            <v>148292</v>
          </cell>
          <cell r="K69">
            <v>72330</v>
          </cell>
          <cell r="L69">
            <v>143975</v>
          </cell>
          <cell r="M69">
            <v>51912</v>
          </cell>
          <cell r="N69">
            <v>154019</v>
          </cell>
          <cell r="Q69">
            <v>73892</v>
          </cell>
          <cell r="R69">
            <v>149522</v>
          </cell>
          <cell r="S69">
            <v>70321</v>
          </cell>
          <cell r="T69">
            <v>159333</v>
          </cell>
          <cell r="V69">
            <v>78240</v>
          </cell>
          <cell r="W69">
            <v>163143</v>
          </cell>
          <cell r="X69">
            <v>62193</v>
          </cell>
          <cell r="Y69">
            <v>164619</v>
          </cell>
          <cell r="AB69">
            <v>55114</v>
          </cell>
          <cell r="AC69">
            <v>125752</v>
          </cell>
          <cell r="AD69">
            <v>65907</v>
          </cell>
          <cell r="AE69">
            <v>148101</v>
          </cell>
          <cell r="AG69">
            <v>54746</v>
          </cell>
          <cell r="AH69">
            <v>136059</v>
          </cell>
          <cell r="AI69">
            <v>62083</v>
          </cell>
          <cell r="AJ69">
            <v>153624</v>
          </cell>
          <cell r="AM69">
            <v>64232</v>
          </cell>
          <cell r="AN69">
            <v>123372</v>
          </cell>
          <cell r="AO69">
            <v>65337</v>
          </cell>
          <cell r="AP69">
            <v>148057</v>
          </cell>
          <cell r="AR69">
            <v>64003</v>
          </cell>
          <cell r="AS69">
            <v>132436</v>
          </cell>
          <cell r="AT69">
            <v>61199</v>
          </cell>
          <cell r="AU69">
            <v>155958</v>
          </cell>
        </row>
        <row r="190">
          <cell r="F190">
            <v>156709</v>
          </cell>
          <cell r="G190">
            <v>195273</v>
          </cell>
          <cell r="H190">
            <v>63378</v>
          </cell>
          <cell r="I190">
            <v>166724</v>
          </cell>
          <cell r="K190">
            <v>162510</v>
          </cell>
          <cell r="L190">
            <v>185660</v>
          </cell>
          <cell r="M190">
            <v>57237</v>
          </cell>
          <cell r="N190">
            <v>169782</v>
          </cell>
          <cell r="Q190">
            <v>166726</v>
          </cell>
          <cell r="R190">
            <v>237477</v>
          </cell>
          <cell r="S190">
            <v>69997</v>
          </cell>
          <cell r="T190">
            <v>174620</v>
          </cell>
          <cell r="V190">
            <v>165915</v>
          </cell>
          <cell r="W190">
            <v>226252</v>
          </cell>
          <cell r="X190">
            <v>61921</v>
          </cell>
          <cell r="Y190">
            <v>174516</v>
          </cell>
          <cell r="AB190">
            <v>135350</v>
          </cell>
          <cell r="AC190">
            <v>197706</v>
          </cell>
          <cell r="AD190">
            <v>68874</v>
          </cell>
          <cell r="AE190">
            <v>178852</v>
          </cell>
          <cell r="AG190">
            <v>135340</v>
          </cell>
          <cell r="AH190">
            <v>191019</v>
          </cell>
          <cell r="AI190">
            <v>57032</v>
          </cell>
          <cell r="AJ190">
            <v>178983</v>
          </cell>
          <cell r="AM190">
            <v>152450</v>
          </cell>
          <cell r="AN190">
            <v>201659</v>
          </cell>
          <cell r="AO190">
            <v>68915</v>
          </cell>
          <cell r="AP190">
            <v>189318</v>
          </cell>
          <cell r="AR190">
            <v>150989</v>
          </cell>
          <cell r="AS190">
            <v>194305</v>
          </cell>
          <cell r="AT190">
            <v>58952</v>
          </cell>
          <cell r="AU190">
            <v>187064</v>
          </cell>
        </row>
        <row r="330">
          <cell r="F330">
            <v>64222</v>
          </cell>
          <cell r="G330">
            <v>74049</v>
          </cell>
          <cell r="H330">
            <v>23683</v>
          </cell>
          <cell r="I330">
            <v>32831</v>
          </cell>
          <cell r="K330">
            <v>65201</v>
          </cell>
          <cell r="L330">
            <v>72374</v>
          </cell>
          <cell r="M330">
            <v>22068</v>
          </cell>
          <cell r="N330">
            <v>31342</v>
          </cell>
          <cell r="Q330">
            <v>71563</v>
          </cell>
          <cell r="R330">
            <v>92092</v>
          </cell>
          <cell r="S330">
            <v>25517</v>
          </cell>
          <cell r="T330">
            <v>35895</v>
          </cell>
          <cell r="V330">
            <v>72039</v>
          </cell>
          <cell r="W330">
            <v>90334</v>
          </cell>
          <cell r="X330">
            <v>23966</v>
          </cell>
          <cell r="Y330">
            <v>34709</v>
          </cell>
          <cell r="AB330">
            <v>65054</v>
          </cell>
          <cell r="AC330">
            <v>83722</v>
          </cell>
          <cell r="AD330">
            <v>24977</v>
          </cell>
          <cell r="AE330">
            <v>34923</v>
          </cell>
          <cell r="AG330">
            <v>65349</v>
          </cell>
          <cell r="AH330">
            <v>82511</v>
          </cell>
          <cell r="AI330">
            <v>23695</v>
          </cell>
          <cell r="AJ330">
            <v>33459</v>
          </cell>
          <cell r="AM330">
            <v>22107</v>
          </cell>
          <cell r="AN330">
            <v>35575</v>
          </cell>
          <cell r="AO330">
            <v>13056</v>
          </cell>
          <cell r="AP330">
            <v>33685</v>
          </cell>
          <cell r="AR330">
            <v>21240</v>
          </cell>
          <cell r="AS330">
            <v>32873</v>
          </cell>
          <cell r="AT330">
            <v>11879</v>
          </cell>
          <cell r="AU330">
            <v>32179</v>
          </cell>
        </row>
        <row r="399">
          <cell r="F399">
            <v>130757</v>
          </cell>
          <cell r="G399">
            <v>54603</v>
          </cell>
          <cell r="H399">
            <v>12160</v>
          </cell>
          <cell r="I399">
            <v>13204</v>
          </cell>
          <cell r="K399">
            <v>127117</v>
          </cell>
          <cell r="L399">
            <v>53316</v>
          </cell>
          <cell r="M399">
            <v>11923</v>
          </cell>
          <cell r="N399">
            <v>12132</v>
          </cell>
          <cell r="Q399">
            <v>120548</v>
          </cell>
          <cell r="R399">
            <v>64178</v>
          </cell>
          <cell r="S399">
            <v>15112</v>
          </cell>
          <cell r="T399">
            <v>12844</v>
          </cell>
          <cell r="V399">
            <v>107193</v>
          </cell>
          <cell r="W399">
            <v>63771</v>
          </cell>
          <cell r="X399">
            <v>12740</v>
          </cell>
          <cell r="Y399">
            <v>11807</v>
          </cell>
          <cell r="AB399">
            <v>108938</v>
          </cell>
          <cell r="AC399">
            <v>68986</v>
          </cell>
          <cell r="AD399">
            <v>16863</v>
          </cell>
          <cell r="AE399">
            <v>14234</v>
          </cell>
          <cell r="AG399">
            <v>99627</v>
          </cell>
          <cell r="AH399">
            <v>73718</v>
          </cell>
          <cell r="AI399">
            <v>13668</v>
          </cell>
          <cell r="AJ399">
            <v>12458</v>
          </cell>
          <cell r="AM399">
            <v>124846</v>
          </cell>
          <cell r="AN399">
            <v>73130</v>
          </cell>
          <cell r="AO399">
            <v>18231</v>
          </cell>
          <cell r="AP399">
            <v>15023</v>
          </cell>
          <cell r="AR399">
            <v>107634</v>
          </cell>
          <cell r="AS399">
            <v>71161</v>
          </cell>
          <cell r="AT399">
            <v>16103</v>
          </cell>
          <cell r="AU399">
            <v>13771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5F10-1A14-4BCF-A915-E23FBF057D8B}">
  <sheetPr>
    <tabColor rgb="FF7030A0"/>
  </sheetPr>
  <dimension ref="A1:BB419"/>
  <sheetViews>
    <sheetView tabSelected="1" view="pageBreakPreview" zoomScale="70" zoomScaleNormal="70" zoomScaleSheetLayoutView="70" workbookViewId="0">
      <pane xSplit="4" ySplit="7" topLeftCell="E8" activePane="bottomRight" state="frozen"/>
      <selection activeCell="C98" sqref="C98"/>
      <selection pane="topRight" activeCell="C98" sqref="C98"/>
      <selection pane="bottomLeft" activeCell="C98" sqref="C98"/>
      <selection pane="bottomRight" activeCell="E8" sqref="E8"/>
    </sheetView>
  </sheetViews>
  <sheetFormatPr defaultColWidth="10" defaultRowHeight="15" customHeight="1" x14ac:dyDescent="0.2"/>
  <cols>
    <col min="1" max="1" width="4" style="2" customWidth="1"/>
    <col min="2" max="3" width="2.7109375" style="2" customWidth="1"/>
    <col min="4" max="4" width="25.7109375" style="3" customWidth="1"/>
    <col min="5" max="5" width="16" style="3" customWidth="1"/>
    <col min="6" max="6" width="21.140625" style="3" bestFit="1" customWidth="1"/>
    <col min="7" max="7" width="22.140625" style="3" bestFit="1" customWidth="1"/>
    <col min="8" max="8" width="14.7109375" style="3" bestFit="1" customWidth="1"/>
    <col min="9" max="10" width="26.85546875" style="3" bestFit="1" customWidth="1"/>
    <col min="11" max="11" width="12.7109375" style="3" bestFit="1" customWidth="1"/>
    <col min="12" max="12" width="21.140625" style="3" bestFit="1" customWidth="1"/>
    <col min="13" max="13" width="22.140625" style="3" bestFit="1" customWidth="1"/>
    <col min="14" max="14" width="12.7109375" style="3" bestFit="1" customWidth="1"/>
    <col min="15" max="16" width="26.85546875" style="3" bestFit="1" customWidth="1"/>
    <col min="17" max="17" width="12.7109375" style="3" bestFit="1" customWidth="1"/>
    <col min="18" max="18" width="21.140625" style="3" bestFit="1" customWidth="1"/>
    <col min="19" max="19" width="22.140625" style="3" bestFit="1" customWidth="1"/>
    <col min="20" max="20" width="12.7109375" style="3" bestFit="1" customWidth="1"/>
    <col min="21" max="22" width="26.85546875" style="3" bestFit="1" customWidth="1"/>
    <col min="23" max="23" width="12.7109375" style="3" bestFit="1" customWidth="1"/>
    <col min="24" max="24" width="21.140625" style="3" bestFit="1" customWidth="1"/>
    <col min="25" max="25" width="22.140625" style="3" bestFit="1" customWidth="1"/>
    <col min="26" max="26" width="12.7109375" style="3" bestFit="1" customWidth="1"/>
    <col min="27" max="28" width="26.85546875" style="3" bestFit="1" customWidth="1"/>
    <col min="29" max="29" width="14.140625" style="3" bestFit="1" customWidth="1"/>
    <col min="30" max="30" width="21.140625" style="3" bestFit="1" customWidth="1"/>
    <col min="31" max="31" width="22.140625" style="3" bestFit="1" customWidth="1"/>
    <col min="32" max="32" width="12.7109375" style="3" bestFit="1" customWidth="1"/>
    <col min="33" max="34" width="26.85546875" style="3" bestFit="1" customWidth="1"/>
    <col min="35" max="35" width="10" style="3"/>
    <col min="36" max="36" width="14.28515625" style="3" bestFit="1" customWidth="1"/>
    <col min="37" max="54" width="10" style="3"/>
    <col min="55" max="16384" width="10" style="2"/>
  </cols>
  <sheetData>
    <row r="1" spans="1:34" ht="15.75" x14ac:dyDescent="0.25">
      <c r="A1" s="1" t="s">
        <v>0</v>
      </c>
    </row>
    <row r="2" spans="1:34" ht="15.75" x14ac:dyDescent="0.25">
      <c r="A2" s="1" t="s">
        <v>1</v>
      </c>
    </row>
    <row r="3" spans="1:34" ht="15.75" x14ac:dyDescent="0.25">
      <c r="A3" s="4" t="s">
        <v>2</v>
      </c>
    </row>
    <row r="4" spans="1:34" ht="15.75" x14ac:dyDescent="0.25">
      <c r="A4" s="4"/>
    </row>
    <row r="5" spans="1:34" x14ac:dyDescent="0.2">
      <c r="A5" s="22" t="s">
        <v>3</v>
      </c>
      <c r="B5" s="23"/>
      <c r="C5" s="23"/>
      <c r="D5" s="24"/>
      <c r="E5" s="31" t="s">
        <v>4</v>
      </c>
      <c r="F5" s="32" t="s">
        <v>5</v>
      </c>
      <c r="G5" s="32"/>
      <c r="H5" s="32"/>
      <c r="I5" s="32"/>
      <c r="J5" s="32"/>
      <c r="K5" s="33" t="s">
        <v>4</v>
      </c>
      <c r="L5" s="34" t="s">
        <v>6</v>
      </c>
      <c r="M5" s="34"/>
      <c r="N5" s="34"/>
      <c r="O5" s="34"/>
      <c r="P5" s="34"/>
      <c r="Q5" s="36" t="s">
        <v>4</v>
      </c>
      <c r="R5" s="36" t="s">
        <v>7</v>
      </c>
      <c r="S5" s="36"/>
      <c r="T5" s="36"/>
      <c r="U5" s="36"/>
      <c r="V5" s="36"/>
      <c r="W5" s="37" t="s">
        <v>4</v>
      </c>
      <c r="X5" s="37" t="s">
        <v>8</v>
      </c>
      <c r="Y5" s="37"/>
      <c r="Z5" s="37"/>
      <c r="AA5" s="37"/>
      <c r="AB5" s="37"/>
      <c r="AC5" s="35" t="s">
        <v>4</v>
      </c>
      <c r="AD5" s="35" t="s">
        <v>9</v>
      </c>
      <c r="AE5" s="35"/>
      <c r="AF5" s="35"/>
      <c r="AG5" s="35"/>
      <c r="AH5" s="35"/>
    </row>
    <row r="6" spans="1:34" x14ac:dyDescent="0.2">
      <c r="A6" s="25"/>
      <c r="B6" s="26"/>
      <c r="C6" s="26"/>
      <c r="D6" s="27"/>
      <c r="E6" s="31"/>
      <c r="F6" s="31" t="s">
        <v>10</v>
      </c>
      <c r="G6" s="31" t="s">
        <v>11</v>
      </c>
      <c r="H6" s="31" t="s">
        <v>12</v>
      </c>
      <c r="I6" s="31" t="s">
        <v>13</v>
      </c>
      <c r="J6" s="31" t="s">
        <v>14</v>
      </c>
      <c r="K6" s="33"/>
      <c r="L6" s="34" t="s">
        <v>10</v>
      </c>
      <c r="M6" s="34" t="s">
        <v>11</v>
      </c>
      <c r="N6" s="34" t="s">
        <v>12</v>
      </c>
      <c r="O6" s="34" t="s">
        <v>13</v>
      </c>
      <c r="P6" s="34" t="s">
        <v>14</v>
      </c>
      <c r="Q6" s="36"/>
      <c r="R6" s="36" t="s">
        <v>10</v>
      </c>
      <c r="S6" s="36" t="s">
        <v>11</v>
      </c>
      <c r="T6" s="36" t="s">
        <v>12</v>
      </c>
      <c r="U6" s="36" t="s">
        <v>13</v>
      </c>
      <c r="V6" s="36" t="s">
        <v>14</v>
      </c>
      <c r="W6" s="37"/>
      <c r="X6" s="37" t="s">
        <v>10</v>
      </c>
      <c r="Y6" s="37" t="s">
        <v>11</v>
      </c>
      <c r="Z6" s="37" t="s">
        <v>12</v>
      </c>
      <c r="AA6" s="37" t="s">
        <v>13</v>
      </c>
      <c r="AB6" s="37" t="s">
        <v>14</v>
      </c>
      <c r="AC6" s="35"/>
      <c r="AD6" s="35" t="s">
        <v>10</v>
      </c>
      <c r="AE6" s="35" t="s">
        <v>11</v>
      </c>
      <c r="AF6" s="35" t="s">
        <v>12</v>
      </c>
      <c r="AG6" s="35" t="s">
        <v>13</v>
      </c>
      <c r="AH6" s="35" t="s">
        <v>14</v>
      </c>
    </row>
    <row r="7" spans="1:34" x14ac:dyDescent="0.2">
      <c r="A7" s="28"/>
      <c r="B7" s="29"/>
      <c r="C7" s="29"/>
      <c r="D7" s="30"/>
      <c r="E7" s="31"/>
      <c r="F7" s="31"/>
      <c r="G7" s="31"/>
      <c r="H7" s="31"/>
      <c r="I7" s="31"/>
      <c r="J7" s="31"/>
      <c r="K7" s="33"/>
      <c r="L7" s="34"/>
      <c r="M7" s="34"/>
      <c r="N7" s="34"/>
      <c r="O7" s="34"/>
      <c r="P7" s="34"/>
      <c r="Q7" s="36"/>
      <c r="R7" s="36"/>
      <c r="S7" s="36"/>
      <c r="T7" s="36"/>
      <c r="U7" s="36"/>
      <c r="V7" s="36"/>
      <c r="W7" s="37"/>
      <c r="X7" s="37"/>
      <c r="Y7" s="37"/>
      <c r="Z7" s="37"/>
      <c r="AA7" s="37"/>
      <c r="AB7" s="37"/>
      <c r="AC7" s="35"/>
      <c r="AD7" s="35"/>
      <c r="AE7" s="35"/>
      <c r="AF7" s="35"/>
      <c r="AG7" s="35"/>
      <c r="AH7" s="35"/>
    </row>
    <row r="8" spans="1:34" s="3" customFormat="1" x14ac:dyDescent="0.2">
      <c r="A8" s="5"/>
      <c r="B8" s="6"/>
      <c r="C8" s="6"/>
      <c r="D8" s="6"/>
      <c r="E8" s="7"/>
      <c r="F8" s="7"/>
      <c r="G8" s="7"/>
      <c r="H8" s="8"/>
      <c r="I8" s="7"/>
      <c r="J8" s="7"/>
      <c r="K8" s="7"/>
      <c r="L8" s="7"/>
      <c r="M8" s="7"/>
      <c r="N8" s="8"/>
      <c r="O8" s="7"/>
      <c r="P8" s="7"/>
      <c r="Q8" s="7"/>
      <c r="R8" s="7"/>
      <c r="S8" s="7"/>
      <c r="T8" s="8"/>
      <c r="U8" s="7"/>
      <c r="V8" s="7"/>
      <c r="W8" s="7"/>
      <c r="X8" s="7"/>
      <c r="Y8" s="7"/>
      <c r="Z8" s="8"/>
      <c r="AA8" s="7"/>
      <c r="AB8" s="7"/>
      <c r="AC8" s="7"/>
      <c r="AD8" s="7"/>
      <c r="AE8" s="7"/>
      <c r="AF8" s="8"/>
      <c r="AG8" s="7"/>
      <c r="AH8" s="7"/>
    </row>
    <row r="9" spans="1:34" s="3" customFormat="1" ht="15.75" x14ac:dyDescent="0.25">
      <c r="A9" s="9" t="s">
        <v>15</v>
      </c>
      <c r="E9" s="10">
        <f t="shared" ref="E9:AH9" si="0">+E10+E11</f>
        <v>149224</v>
      </c>
      <c r="F9" s="11">
        <f t="shared" si="0"/>
        <v>5167</v>
      </c>
      <c r="G9" s="11">
        <f t="shared" si="0"/>
        <v>31526</v>
      </c>
      <c r="H9" s="11">
        <f t="shared" si="0"/>
        <v>78033</v>
      </c>
      <c r="I9" s="11">
        <f t="shared" si="0"/>
        <v>15745</v>
      </c>
      <c r="J9" s="11">
        <f t="shared" si="0"/>
        <v>18753</v>
      </c>
      <c r="K9" s="11">
        <f t="shared" si="0"/>
        <v>163909</v>
      </c>
      <c r="L9" s="11">
        <f t="shared" si="0"/>
        <v>5059</v>
      </c>
      <c r="M9" s="11">
        <f t="shared" si="0"/>
        <v>33071</v>
      </c>
      <c r="N9" s="11">
        <f t="shared" si="0"/>
        <v>87719</v>
      </c>
      <c r="O9" s="11">
        <f t="shared" si="0"/>
        <v>17795</v>
      </c>
      <c r="P9" s="11">
        <f t="shared" si="0"/>
        <v>20265</v>
      </c>
      <c r="Q9" s="11">
        <f t="shared" si="0"/>
        <v>156370</v>
      </c>
      <c r="R9" s="11">
        <f t="shared" si="0"/>
        <v>4850</v>
      </c>
      <c r="S9" s="11">
        <f t="shared" si="0"/>
        <v>30023</v>
      </c>
      <c r="T9" s="11">
        <f t="shared" si="0"/>
        <v>84183</v>
      </c>
      <c r="U9" s="11">
        <f t="shared" si="0"/>
        <v>17827</v>
      </c>
      <c r="V9" s="11">
        <f t="shared" si="0"/>
        <v>19487</v>
      </c>
      <c r="W9" s="11">
        <f t="shared" si="0"/>
        <v>152304</v>
      </c>
      <c r="X9" s="11">
        <f t="shared" si="0"/>
        <v>5079</v>
      </c>
      <c r="Y9" s="11">
        <f t="shared" si="0"/>
        <v>29966</v>
      </c>
      <c r="Z9" s="11">
        <f t="shared" si="0"/>
        <v>81527</v>
      </c>
      <c r="AA9" s="11">
        <f t="shared" si="0"/>
        <v>15085</v>
      </c>
      <c r="AB9" s="11">
        <f t="shared" si="0"/>
        <v>20647</v>
      </c>
      <c r="AC9" s="11">
        <f t="shared" si="0"/>
        <v>621807</v>
      </c>
      <c r="AD9" s="11">
        <f t="shared" si="0"/>
        <v>20155</v>
      </c>
      <c r="AE9" s="11">
        <f t="shared" si="0"/>
        <v>124586</v>
      </c>
      <c r="AF9" s="11">
        <f t="shared" si="0"/>
        <v>331462</v>
      </c>
      <c r="AG9" s="11">
        <f t="shared" si="0"/>
        <v>66452</v>
      </c>
      <c r="AH9" s="11">
        <f t="shared" si="0"/>
        <v>79152</v>
      </c>
    </row>
    <row r="10" spans="1:34" s="3" customFormat="1" x14ac:dyDescent="0.2">
      <c r="A10" s="12"/>
      <c r="B10" s="3" t="s">
        <v>16</v>
      </c>
      <c r="E10" s="13">
        <f>SUM(F10:J10)</f>
        <v>146588</v>
      </c>
      <c r="F10" s="14">
        <f>'[1]sum-ship'!E10</f>
        <v>4080</v>
      </c>
      <c r="G10" s="14">
        <f>'[1]sum-ship'!E69</f>
        <v>30940</v>
      </c>
      <c r="H10" s="14">
        <f>'[1]sum-ship'!E190</f>
        <v>77784</v>
      </c>
      <c r="I10" s="14">
        <f>'[1]sum-ship'!E330</f>
        <v>15555</v>
      </c>
      <c r="J10" s="14">
        <f>'[1]sum-ship'!E399</f>
        <v>18229</v>
      </c>
      <c r="K10" s="14">
        <f>SUM(L10:P10)</f>
        <v>160911</v>
      </c>
      <c r="L10" s="14">
        <f>'[1]sum-ship'!H10</f>
        <v>3959</v>
      </c>
      <c r="M10" s="14">
        <f>'[1]sum-ship'!H69</f>
        <v>32404</v>
      </c>
      <c r="N10" s="14">
        <f>'[1]sum-ship'!H190</f>
        <v>87418</v>
      </c>
      <c r="O10" s="14">
        <f>'[1]sum-ship'!H330</f>
        <v>17409</v>
      </c>
      <c r="P10" s="14">
        <f>'[1]sum-ship'!H399</f>
        <v>19721</v>
      </c>
      <c r="Q10" s="14">
        <f>SUM(R10:V10)</f>
        <v>153486</v>
      </c>
      <c r="R10" s="14">
        <f>'[1]sum-ship'!K10</f>
        <v>3828</v>
      </c>
      <c r="S10" s="14">
        <f>'[1]sum-ship'!K69</f>
        <v>29448</v>
      </c>
      <c r="T10" s="14">
        <f>'[1]sum-ship'!K190</f>
        <v>83902</v>
      </c>
      <c r="U10" s="14">
        <f>'[1]sum-ship'!K330</f>
        <v>17355</v>
      </c>
      <c r="V10" s="14">
        <f>'[1]sum-ship'!K399</f>
        <v>18953</v>
      </c>
      <c r="W10" s="14">
        <f>SUM(X10:AB10)</f>
        <v>149543</v>
      </c>
      <c r="X10" s="14">
        <f>'[1]sum-ship'!N10</f>
        <v>4071</v>
      </c>
      <c r="Y10" s="14">
        <f>'[1]sum-ship'!N69</f>
        <v>29353</v>
      </c>
      <c r="Z10" s="14">
        <f>'[1]sum-ship'!N190</f>
        <v>81215</v>
      </c>
      <c r="AA10" s="14">
        <f>'[1]sum-ship'!N330</f>
        <v>14798</v>
      </c>
      <c r="AB10" s="14">
        <f>'[1]sum-ship'!N399</f>
        <v>20106</v>
      </c>
      <c r="AC10" s="14">
        <f>SUM(AD10:AH10)</f>
        <v>610528</v>
      </c>
      <c r="AD10" s="14">
        <f t="shared" ref="AD10:AH11" si="1">F10+L10+R10+X10</f>
        <v>15938</v>
      </c>
      <c r="AE10" s="14">
        <f t="shared" si="1"/>
        <v>122145</v>
      </c>
      <c r="AF10" s="14">
        <f t="shared" si="1"/>
        <v>330319</v>
      </c>
      <c r="AG10" s="14">
        <f t="shared" si="1"/>
        <v>65117</v>
      </c>
      <c r="AH10" s="14">
        <f t="shared" si="1"/>
        <v>77009</v>
      </c>
    </row>
    <row r="11" spans="1:34" s="3" customFormat="1" x14ac:dyDescent="0.2">
      <c r="A11" s="12"/>
      <c r="B11" s="3" t="s">
        <v>17</v>
      </c>
      <c r="E11" s="13">
        <f>SUM(F11:J11)</f>
        <v>2636</v>
      </c>
      <c r="F11" s="14">
        <f>'[1]sum-ship'!F10</f>
        <v>1087</v>
      </c>
      <c r="G11" s="14">
        <f>'[1]sum-ship'!F69</f>
        <v>586</v>
      </c>
      <c r="H11" s="14">
        <f>'[1]sum-ship'!F190</f>
        <v>249</v>
      </c>
      <c r="I11" s="14">
        <f>'[1]sum-ship'!F330</f>
        <v>190</v>
      </c>
      <c r="J11" s="14">
        <f>'[1]sum-ship'!F399</f>
        <v>524</v>
      </c>
      <c r="K11" s="14">
        <f>SUM(L11:P11)</f>
        <v>2998</v>
      </c>
      <c r="L11" s="14">
        <f>'[1]sum-ship'!I10</f>
        <v>1100</v>
      </c>
      <c r="M11" s="14">
        <f>'[1]sum-ship'!I69</f>
        <v>667</v>
      </c>
      <c r="N11" s="14">
        <f>'[1]sum-ship'!I190</f>
        <v>301</v>
      </c>
      <c r="O11" s="14">
        <f>'[1]sum-ship'!I330</f>
        <v>386</v>
      </c>
      <c r="P11" s="14">
        <f>'[1]sum-ship'!I399</f>
        <v>544</v>
      </c>
      <c r="Q11" s="14">
        <f>SUM(R11:V11)</f>
        <v>2884</v>
      </c>
      <c r="R11" s="14">
        <f>'[1]sum-ship'!L10</f>
        <v>1022</v>
      </c>
      <c r="S11" s="14">
        <f>'[1]sum-ship'!L69</f>
        <v>575</v>
      </c>
      <c r="T11" s="14">
        <f>'[1]sum-ship'!L190</f>
        <v>281</v>
      </c>
      <c r="U11" s="14">
        <f>'[1]sum-ship'!L330</f>
        <v>472</v>
      </c>
      <c r="V11" s="14">
        <f>'[1]sum-ship'!L399</f>
        <v>534</v>
      </c>
      <c r="W11" s="14">
        <f>SUM(X11:AB11)</f>
        <v>2761</v>
      </c>
      <c r="X11" s="14">
        <f>'[1]sum-ship'!O10</f>
        <v>1008</v>
      </c>
      <c r="Y11" s="14">
        <f>'[1]sum-ship'!O69</f>
        <v>613</v>
      </c>
      <c r="Z11" s="14">
        <f>'[1]sum-ship'!O190</f>
        <v>312</v>
      </c>
      <c r="AA11" s="14">
        <f>'[1]sum-ship'!O330</f>
        <v>287</v>
      </c>
      <c r="AB11" s="14">
        <f>'[1]sum-ship'!O399</f>
        <v>541</v>
      </c>
      <c r="AC11" s="14">
        <f>SUM(AD11:AH11)</f>
        <v>11279</v>
      </c>
      <c r="AD11" s="14">
        <f t="shared" si="1"/>
        <v>4217</v>
      </c>
      <c r="AE11" s="14">
        <f t="shared" si="1"/>
        <v>2441</v>
      </c>
      <c r="AF11" s="14">
        <f t="shared" si="1"/>
        <v>1143</v>
      </c>
      <c r="AG11" s="14">
        <f t="shared" si="1"/>
        <v>1335</v>
      </c>
      <c r="AH11" s="14">
        <f t="shared" si="1"/>
        <v>2143</v>
      </c>
    </row>
    <row r="12" spans="1:34" s="3" customFormat="1" x14ac:dyDescent="0.2">
      <c r="A12" s="12"/>
      <c r="E12" s="13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s="3" customFormat="1" ht="15.75" x14ac:dyDescent="0.25">
      <c r="A13" s="9" t="s">
        <v>18</v>
      </c>
      <c r="E13" s="10">
        <f t="shared" ref="E13:AH13" si="2">+E15+E20</f>
        <v>59521578.334078237</v>
      </c>
      <c r="F13" s="11">
        <f t="shared" si="2"/>
        <v>24419248.254500002</v>
      </c>
      <c r="G13" s="11">
        <f t="shared" si="2"/>
        <v>10470106.657989999</v>
      </c>
      <c r="H13" s="11">
        <f t="shared" si="2"/>
        <v>13002734.157870002</v>
      </c>
      <c r="I13" s="11">
        <f t="shared" si="2"/>
        <v>5007961.8866182305</v>
      </c>
      <c r="J13" s="11">
        <f t="shared" si="2"/>
        <v>6621527.3771000002</v>
      </c>
      <c r="K13" s="11">
        <f t="shared" si="2"/>
        <v>79208872.4125963</v>
      </c>
      <c r="L13" s="11">
        <f t="shared" si="2"/>
        <v>25596207.410159998</v>
      </c>
      <c r="M13" s="11">
        <f t="shared" si="2"/>
        <v>12922207.589639263</v>
      </c>
      <c r="N13" s="11">
        <f t="shared" si="2"/>
        <v>16408929.339430001</v>
      </c>
      <c r="O13" s="11">
        <f t="shared" si="2"/>
        <v>16318946.742067043</v>
      </c>
      <c r="P13" s="11">
        <f t="shared" si="2"/>
        <v>7962581.3312999997</v>
      </c>
      <c r="Q13" s="11">
        <f t="shared" si="2"/>
        <v>79591988.089908719</v>
      </c>
      <c r="R13" s="11">
        <f t="shared" si="2"/>
        <v>25868706.560699999</v>
      </c>
      <c r="S13" s="11">
        <f t="shared" si="2"/>
        <v>10870393.555369999</v>
      </c>
      <c r="T13" s="11">
        <f t="shared" si="2"/>
        <v>13526745.643139999</v>
      </c>
      <c r="U13" s="11">
        <f t="shared" si="2"/>
        <v>21181753.389398709</v>
      </c>
      <c r="V13" s="11">
        <f t="shared" si="2"/>
        <v>8144388.9413000001</v>
      </c>
      <c r="W13" s="11">
        <f t="shared" si="2"/>
        <v>71195599.620715573</v>
      </c>
      <c r="X13" s="11">
        <f t="shared" si="2"/>
        <v>27001189.08794</v>
      </c>
      <c r="Y13" s="11">
        <f t="shared" si="2"/>
        <v>11926189.941300001</v>
      </c>
      <c r="Z13" s="11">
        <f t="shared" si="2"/>
        <v>13543231.040920001</v>
      </c>
      <c r="AA13" s="11">
        <f t="shared" si="2"/>
        <v>10898999.258555569</v>
      </c>
      <c r="AB13" s="11">
        <f t="shared" si="2"/>
        <v>7825990.2920000004</v>
      </c>
      <c r="AC13" s="11">
        <f t="shared" si="2"/>
        <v>289518038.45729876</v>
      </c>
      <c r="AD13" s="11">
        <f t="shared" si="2"/>
        <v>102885351.3133</v>
      </c>
      <c r="AE13" s="11">
        <f t="shared" si="2"/>
        <v>46188897.744299263</v>
      </c>
      <c r="AF13" s="11">
        <f t="shared" si="2"/>
        <v>56481640.181360006</v>
      </c>
      <c r="AG13" s="11">
        <f t="shared" si="2"/>
        <v>53407661.276639551</v>
      </c>
      <c r="AH13" s="11">
        <f t="shared" si="2"/>
        <v>30554487.9417</v>
      </c>
    </row>
    <row r="14" spans="1:34" s="3" customFormat="1" x14ac:dyDescent="0.2">
      <c r="A14" s="12"/>
      <c r="E14" s="13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s="3" customFormat="1" x14ac:dyDescent="0.2">
      <c r="A15" s="12"/>
      <c r="B15" s="3" t="s">
        <v>16</v>
      </c>
      <c r="E15" s="13">
        <f t="shared" ref="E15:AH15" si="3">+E17+E18</f>
        <v>25669771.561078232</v>
      </c>
      <c r="F15" s="14">
        <f t="shared" si="3"/>
        <v>8121127.7174999993</v>
      </c>
      <c r="G15" s="14">
        <f t="shared" si="3"/>
        <v>4793403.2849899996</v>
      </c>
      <c r="H15" s="14">
        <f t="shared" si="3"/>
        <v>7564529.4718700005</v>
      </c>
      <c r="I15" s="14">
        <f t="shared" si="3"/>
        <v>2537125.1526182308</v>
      </c>
      <c r="J15" s="14">
        <f t="shared" si="3"/>
        <v>2653585.9341000002</v>
      </c>
      <c r="K15" s="14">
        <f t="shared" si="3"/>
        <v>27059559.575236306</v>
      </c>
      <c r="L15" s="14">
        <f t="shared" si="3"/>
        <v>7797695.9782999996</v>
      </c>
      <c r="M15" s="14">
        <f t="shared" si="3"/>
        <v>5314621.4256392634</v>
      </c>
      <c r="N15" s="14">
        <f t="shared" si="3"/>
        <v>8001178.6094300002</v>
      </c>
      <c r="O15" s="14">
        <f t="shared" si="3"/>
        <v>2832238.9060670426</v>
      </c>
      <c r="P15" s="14">
        <f t="shared" si="3"/>
        <v>3113824.6557999998</v>
      </c>
      <c r="Q15" s="14">
        <f t="shared" si="3"/>
        <v>25339268.45470871</v>
      </c>
      <c r="R15" s="14">
        <f t="shared" si="3"/>
        <v>7963365.2204999998</v>
      </c>
      <c r="S15" s="14">
        <f t="shared" si="3"/>
        <v>4691283.5023699999</v>
      </c>
      <c r="T15" s="14">
        <f t="shared" si="3"/>
        <v>7166668.5211400008</v>
      </c>
      <c r="U15" s="14">
        <f t="shared" si="3"/>
        <v>2708348.5783987083</v>
      </c>
      <c r="V15" s="14">
        <f t="shared" si="3"/>
        <v>2809602.6322999997</v>
      </c>
      <c r="W15" s="14">
        <f t="shared" si="3"/>
        <v>26609813.415575571</v>
      </c>
      <c r="X15" s="14">
        <f t="shared" si="3"/>
        <v>8825431.1317999996</v>
      </c>
      <c r="Y15" s="14">
        <f t="shared" si="3"/>
        <v>4803431.8262999998</v>
      </c>
      <c r="Z15" s="14">
        <f t="shared" si="3"/>
        <v>7280943.0009199996</v>
      </c>
      <c r="AA15" s="14">
        <f t="shared" si="3"/>
        <v>2847639.5055555692</v>
      </c>
      <c r="AB15" s="14">
        <f t="shared" si="3"/>
        <v>2852367.9510000004</v>
      </c>
      <c r="AC15" s="14">
        <f t="shared" si="3"/>
        <v>104678413.0065988</v>
      </c>
      <c r="AD15" s="14">
        <f t="shared" si="3"/>
        <v>32707620.048099995</v>
      </c>
      <c r="AE15" s="14">
        <f t="shared" si="3"/>
        <v>19602740.039299261</v>
      </c>
      <c r="AF15" s="14">
        <f t="shared" si="3"/>
        <v>30013319.603360001</v>
      </c>
      <c r="AG15" s="14">
        <f t="shared" si="3"/>
        <v>10925352.142639551</v>
      </c>
      <c r="AH15" s="14">
        <f t="shared" si="3"/>
        <v>11429381.1732</v>
      </c>
    </row>
    <row r="16" spans="1:34" s="3" customFormat="1" x14ac:dyDescent="0.2">
      <c r="A16" s="12"/>
      <c r="E16" s="13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s="3" customFormat="1" x14ac:dyDescent="0.2">
      <c r="A17" s="12"/>
      <c r="C17" s="3" t="s">
        <v>19</v>
      </c>
      <c r="E17" s="13">
        <f>SUM(F17:J17)</f>
        <v>12992190.54130137</v>
      </c>
      <c r="F17" s="14">
        <f>'[1]sum-cargo'!F10</f>
        <v>2847643.2236999995</v>
      </c>
      <c r="G17" s="14">
        <f>'[1]sum-cargo'!F69</f>
        <v>3514751.8272599997</v>
      </c>
      <c r="H17" s="14">
        <f>'[1]sum-cargo'!F190</f>
        <v>3329021.21416</v>
      </c>
      <c r="I17" s="14">
        <f>'[1]sum-cargo'!F330</f>
        <v>1517071.6211813709</v>
      </c>
      <c r="J17" s="14">
        <f>'[1]sum-cargo'!F399</f>
        <v>1783702.655</v>
      </c>
      <c r="K17" s="14">
        <f>SUM(L17:P17)</f>
        <v>13893044.093098499</v>
      </c>
      <c r="L17" s="14">
        <f>'[1]sum-cargo'!M10</f>
        <v>2674490.7822999996</v>
      </c>
      <c r="M17" s="14">
        <f>'[1]sum-cargo'!M69</f>
        <v>3946324.4880292634</v>
      </c>
      <c r="N17" s="14">
        <f>'[1]sum-cargo'!M190</f>
        <v>3567204.77985</v>
      </c>
      <c r="O17" s="14">
        <f>'[1]sum-cargo'!M330</f>
        <v>1640399.7029192359</v>
      </c>
      <c r="P17" s="14">
        <f>'[1]sum-cargo'!M399</f>
        <v>2064624.3399999999</v>
      </c>
      <c r="Q17" s="14">
        <f>SUM(R17:V17)</f>
        <v>12840419.339291845</v>
      </c>
      <c r="R17" s="14">
        <f>'[1]sum-cargo'!T10</f>
        <v>2511065.84</v>
      </c>
      <c r="S17" s="14">
        <f>'[1]sum-cargo'!T69</f>
        <v>3337207.0142400004</v>
      </c>
      <c r="T17" s="14">
        <f>'[1]sum-cargo'!T190</f>
        <v>3592099.7821500003</v>
      </c>
      <c r="U17" s="14">
        <f>'[1]sum-cargo'!T330</f>
        <v>1487675.0586018446</v>
      </c>
      <c r="V17" s="14">
        <f>'[1]sum-cargo'!T399</f>
        <v>1912371.6442999998</v>
      </c>
      <c r="W17" s="14">
        <f>SUM(X17:AB17)</f>
        <v>13280643.320027031</v>
      </c>
      <c r="X17" s="14">
        <f>'[1]sum-cargo'!AA10</f>
        <v>2587998.6476999996</v>
      </c>
      <c r="Y17" s="14">
        <f>'[1]sum-cargo'!AA69</f>
        <v>3593852.8335499996</v>
      </c>
      <c r="Z17" s="14">
        <f>'[1]sum-cargo'!AA190</f>
        <v>3603586.7090699999</v>
      </c>
      <c r="AA17" s="14">
        <f>'[1]sum-cargo'!AA330</f>
        <v>1591640.8047070296</v>
      </c>
      <c r="AB17" s="14">
        <f>'[1]sum-cargo'!AA399</f>
        <v>1903564.3250000002</v>
      </c>
      <c r="AC17" s="14">
        <f>SUM(AD17:AH17)</f>
        <v>53006297.29371874</v>
      </c>
      <c r="AD17" s="14">
        <f t="shared" ref="AD17:AH18" si="4">F17+L17+R17+X17</f>
        <v>10621198.493699998</v>
      </c>
      <c r="AE17" s="14">
        <f t="shared" si="4"/>
        <v>14392136.163079262</v>
      </c>
      <c r="AF17" s="14">
        <f t="shared" si="4"/>
        <v>14091912.485229999</v>
      </c>
      <c r="AG17" s="14">
        <f t="shared" si="4"/>
        <v>6236787.187409481</v>
      </c>
      <c r="AH17" s="14">
        <f t="shared" si="4"/>
        <v>7664262.9643000001</v>
      </c>
    </row>
    <row r="18" spans="1:34" s="3" customFormat="1" x14ac:dyDescent="0.2">
      <c r="A18" s="12"/>
      <c r="C18" s="3" t="s">
        <v>20</v>
      </c>
      <c r="E18" s="13">
        <f>SUM(F18:J18)</f>
        <v>12677581.019776862</v>
      </c>
      <c r="F18" s="14">
        <f>'[1]sum-cargo'!G10</f>
        <v>5273484.4937999994</v>
      </c>
      <c r="G18" s="14">
        <f>'[1]sum-cargo'!G69</f>
        <v>1278651.4577300001</v>
      </c>
      <c r="H18" s="14">
        <f>'[1]sum-cargo'!G190</f>
        <v>4235508.2577100005</v>
      </c>
      <c r="I18" s="14">
        <f>'[1]sum-cargo'!G330</f>
        <v>1020053.5314368597</v>
      </c>
      <c r="J18" s="14">
        <f>'[1]sum-cargo'!G399</f>
        <v>869883.27909999993</v>
      </c>
      <c r="K18" s="14">
        <f>SUM(L18:P18)</f>
        <v>13166515.482137807</v>
      </c>
      <c r="L18" s="14">
        <f>'[1]sum-cargo'!N10</f>
        <v>5123205.1959999995</v>
      </c>
      <c r="M18" s="14">
        <f>'[1]sum-cargo'!N69</f>
        <v>1368296.9376100001</v>
      </c>
      <c r="N18" s="14">
        <f>'[1]sum-cargo'!N190</f>
        <v>4433973.8295799997</v>
      </c>
      <c r="O18" s="14">
        <f>'[1]sum-cargo'!N330</f>
        <v>1191839.2031478067</v>
      </c>
      <c r="P18" s="14">
        <f>'[1]sum-cargo'!N399</f>
        <v>1049200.3158</v>
      </c>
      <c r="Q18" s="14">
        <f>SUM(R18:V18)</f>
        <v>12498849.115416864</v>
      </c>
      <c r="R18" s="14">
        <f>'[1]sum-cargo'!U10</f>
        <v>5452299.3805</v>
      </c>
      <c r="S18" s="14">
        <f>'[1]sum-cargo'!U69</f>
        <v>1354076.48813</v>
      </c>
      <c r="T18" s="14">
        <f>'[1]sum-cargo'!U190</f>
        <v>3574568.7389900004</v>
      </c>
      <c r="U18" s="14">
        <f>'[1]sum-cargo'!U330</f>
        <v>1220673.5197968634</v>
      </c>
      <c r="V18" s="14">
        <f>'[1]sum-cargo'!U399</f>
        <v>897230.9879999999</v>
      </c>
      <c r="W18" s="14">
        <f>SUM(X18:AB18)</f>
        <v>13329170.095548542</v>
      </c>
      <c r="X18" s="14">
        <f>'[1]sum-cargo'!AB10</f>
        <v>6237432.4841000009</v>
      </c>
      <c r="Y18" s="14">
        <f>'[1]sum-cargo'!AB69</f>
        <v>1209578.99275</v>
      </c>
      <c r="Z18" s="14">
        <f>'[1]sum-cargo'!AB190</f>
        <v>3677356.2918500002</v>
      </c>
      <c r="AA18" s="14">
        <f>'[1]sum-cargo'!AB330</f>
        <v>1255998.7008485394</v>
      </c>
      <c r="AB18" s="14">
        <f>'[1]sum-cargo'!AB399</f>
        <v>948803.62600000005</v>
      </c>
      <c r="AC18" s="14">
        <f>SUM(AD18:AH18)</f>
        <v>51672115.712880068</v>
      </c>
      <c r="AD18" s="14">
        <f t="shared" si="4"/>
        <v>22086421.554399997</v>
      </c>
      <c r="AE18" s="14">
        <f t="shared" si="4"/>
        <v>5210603.87622</v>
      </c>
      <c r="AF18" s="14">
        <f t="shared" si="4"/>
        <v>15921407.118130002</v>
      </c>
      <c r="AG18" s="14">
        <f t="shared" si="4"/>
        <v>4688564.9552300693</v>
      </c>
      <c r="AH18" s="14">
        <f t="shared" si="4"/>
        <v>3765118.2089</v>
      </c>
    </row>
    <row r="19" spans="1:34" s="3" customFormat="1" x14ac:dyDescent="0.2">
      <c r="A19" s="12"/>
      <c r="E19" s="13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s="3" customFormat="1" x14ac:dyDescent="0.2">
      <c r="A20" s="12"/>
      <c r="B20" s="3" t="s">
        <v>17</v>
      </c>
      <c r="E20" s="13">
        <f t="shared" ref="E20:AH20" si="5">+E22+E23</f>
        <v>33851806.773000002</v>
      </c>
      <c r="F20" s="14">
        <f t="shared" si="5"/>
        <v>16298120.537</v>
      </c>
      <c r="G20" s="14">
        <f t="shared" si="5"/>
        <v>5676703.3729999997</v>
      </c>
      <c r="H20" s="14">
        <f t="shared" si="5"/>
        <v>5438204.6860000007</v>
      </c>
      <c r="I20" s="14">
        <f t="shared" si="5"/>
        <v>2470836.7340000002</v>
      </c>
      <c r="J20" s="14">
        <f t="shared" si="5"/>
        <v>3967941.443</v>
      </c>
      <c r="K20" s="14">
        <f t="shared" si="5"/>
        <v>52149312.837359995</v>
      </c>
      <c r="L20" s="14">
        <f t="shared" si="5"/>
        <v>17798511.43186</v>
      </c>
      <c r="M20" s="14">
        <f t="shared" si="5"/>
        <v>7607586.1639999999</v>
      </c>
      <c r="N20" s="14">
        <f t="shared" si="5"/>
        <v>8407750.7300000004</v>
      </c>
      <c r="O20" s="14">
        <f t="shared" si="5"/>
        <v>13486707.835999999</v>
      </c>
      <c r="P20" s="14">
        <f t="shared" si="5"/>
        <v>4848756.6754999999</v>
      </c>
      <c r="Q20" s="14">
        <f t="shared" si="5"/>
        <v>54252719.635200001</v>
      </c>
      <c r="R20" s="14">
        <f t="shared" si="5"/>
        <v>17905341.3402</v>
      </c>
      <c r="S20" s="14">
        <f t="shared" si="5"/>
        <v>6179110.0530000003</v>
      </c>
      <c r="T20" s="14">
        <f t="shared" si="5"/>
        <v>6360077.1219999995</v>
      </c>
      <c r="U20" s="14">
        <f t="shared" si="5"/>
        <v>18473404.811000001</v>
      </c>
      <c r="V20" s="14">
        <f t="shared" si="5"/>
        <v>5334786.3090000004</v>
      </c>
      <c r="W20" s="14">
        <f t="shared" si="5"/>
        <v>44585786.205140002</v>
      </c>
      <c r="X20" s="14">
        <f t="shared" si="5"/>
        <v>18175757.95614</v>
      </c>
      <c r="Y20" s="14">
        <f t="shared" si="5"/>
        <v>7122758.1150000002</v>
      </c>
      <c r="Z20" s="14">
        <f t="shared" si="5"/>
        <v>6262288.04</v>
      </c>
      <c r="AA20" s="14">
        <f t="shared" si="5"/>
        <v>8051359.7529999996</v>
      </c>
      <c r="AB20" s="14">
        <f t="shared" si="5"/>
        <v>4973622.341</v>
      </c>
      <c r="AC20" s="14">
        <f t="shared" si="5"/>
        <v>184839625.45069999</v>
      </c>
      <c r="AD20" s="14">
        <f t="shared" si="5"/>
        <v>70177731.265200004</v>
      </c>
      <c r="AE20" s="14">
        <f t="shared" si="5"/>
        <v>26586157.705000002</v>
      </c>
      <c r="AF20" s="14">
        <f t="shared" si="5"/>
        <v>26468320.578000002</v>
      </c>
      <c r="AG20" s="14">
        <f t="shared" si="5"/>
        <v>42482309.134000003</v>
      </c>
      <c r="AH20" s="14">
        <f t="shared" si="5"/>
        <v>19125106.7685</v>
      </c>
    </row>
    <row r="21" spans="1:34" s="3" customFormat="1" x14ac:dyDescent="0.2">
      <c r="A21" s="12"/>
      <c r="E21" s="13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s="3" customFormat="1" x14ac:dyDescent="0.2">
      <c r="A22" s="12"/>
      <c r="C22" s="3" t="s">
        <v>21</v>
      </c>
      <c r="E22" s="13">
        <f>SUM(F22:J22)</f>
        <v>23767521.554000001</v>
      </c>
      <c r="F22" s="14">
        <f>'[1]sum-cargo'!I10</f>
        <v>12891858.274</v>
      </c>
      <c r="G22" s="14">
        <f>'[1]sum-cargo'!I69</f>
        <v>4825562.4139999999</v>
      </c>
      <c r="H22" s="14">
        <f>'[1]sum-cargo'!I190</f>
        <v>1687960.3000000003</v>
      </c>
      <c r="I22" s="14">
        <f>'[1]sum-cargo'!I330</f>
        <v>1646107.132</v>
      </c>
      <c r="J22" s="14">
        <f>'[1]sum-cargo'!I399</f>
        <v>2716033.4339999999</v>
      </c>
      <c r="K22" s="14">
        <f>SUM(L22:P22)</f>
        <v>28832603.102359999</v>
      </c>
      <c r="L22" s="14">
        <f>'[1]sum-cargo'!P10</f>
        <v>15012934.324859999</v>
      </c>
      <c r="M22" s="14">
        <f>'[1]sum-cargo'!P69</f>
        <v>6201950.057</v>
      </c>
      <c r="N22" s="14">
        <f>'[1]sum-cargo'!P190</f>
        <v>2304616.5550000002</v>
      </c>
      <c r="O22" s="14">
        <f>'[1]sum-cargo'!P330</f>
        <v>2170218.38</v>
      </c>
      <c r="P22" s="14">
        <f>'[1]sum-cargo'!P399</f>
        <v>3142883.7855000002</v>
      </c>
      <c r="Q22" s="14">
        <f>SUM(R22:V22)</f>
        <v>27818464.1272</v>
      </c>
      <c r="R22" s="14">
        <f>'[1]sum-cargo'!W10</f>
        <v>15240705.1812</v>
      </c>
      <c r="S22" s="14">
        <f>'[1]sum-cargo'!W69</f>
        <v>5743987.068</v>
      </c>
      <c r="T22" s="14">
        <f>'[1]sum-cargo'!W190</f>
        <v>1668478.1950000001</v>
      </c>
      <c r="U22" s="14">
        <f>'[1]sum-cargo'!W330</f>
        <v>1714767.264</v>
      </c>
      <c r="V22" s="14">
        <f>'[1]sum-cargo'!W399</f>
        <v>3450526.4190000002</v>
      </c>
      <c r="W22" s="14">
        <f>SUM(X22:AB22)</f>
        <v>28139337.828140002</v>
      </c>
      <c r="X22" s="14">
        <f>'[1]sum-cargo'!AD10</f>
        <v>15268057.45614</v>
      </c>
      <c r="Y22" s="14">
        <f>'[1]sum-cargo'!AD69</f>
        <v>5970563.091</v>
      </c>
      <c r="Z22" s="14">
        <f>'[1]sum-cargo'!AD190</f>
        <v>2022988.2999999998</v>
      </c>
      <c r="AA22" s="14">
        <f>'[1]sum-cargo'!AD330</f>
        <v>1785588.9940000002</v>
      </c>
      <c r="AB22" s="14">
        <f>'[1]sum-cargo'!AD399</f>
        <v>3092139.9870000002</v>
      </c>
      <c r="AC22" s="14">
        <f>SUM(AD22:AH22)</f>
        <v>108557926.61169998</v>
      </c>
      <c r="AD22" s="14">
        <f t="shared" ref="AD22:AH23" si="6">F22+L22+R22+X22</f>
        <v>58413555.236200005</v>
      </c>
      <c r="AE22" s="14">
        <f t="shared" si="6"/>
        <v>22742062.630000003</v>
      </c>
      <c r="AF22" s="14">
        <f t="shared" si="6"/>
        <v>7684043.3500000006</v>
      </c>
      <c r="AG22" s="14">
        <f t="shared" si="6"/>
        <v>7316681.7700000005</v>
      </c>
      <c r="AH22" s="14">
        <f t="shared" si="6"/>
        <v>12401583.625499999</v>
      </c>
    </row>
    <row r="23" spans="1:34" s="3" customFormat="1" x14ac:dyDescent="0.2">
      <c r="A23" s="12"/>
      <c r="C23" s="3" t="s">
        <v>22</v>
      </c>
      <c r="E23" s="13">
        <f>SUM(F23:J23)</f>
        <v>10084285.219000001</v>
      </c>
      <c r="F23" s="14">
        <f>'[1]sum-cargo'!J10</f>
        <v>3406262.2629999998</v>
      </c>
      <c r="G23" s="14">
        <f>'[1]sum-cargo'!J69</f>
        <v>851140.95900000003</v>
      </c>
      <c r="H23" s="14">
        <f>'[1]sum-cargo'!J190</f>
        <v>3750244.3859999999</v>
      </c>
      <c r="I23" s="14">
        <f>'[1]sum-cargo'!J330</f>
        <v>824729.60199999996</v>
      </c>
      <c r="J23" s="14">
        <f>'[1]sum-cargo'!J399</f>
        <v>1251908.0089999998</v>
      </c>
      <c r="K23" s="14">
        <f>SUM(L23:P23)</f>
        <v>23316709.734999999</v>
      </c>
      <c r="L23" s="14">
        <f>'[1]sum-cargo'!Q10</f>
        <v>2785577.1070000003</v>
      </c>
      <c r="M23" s="14">
        <f>'[1]sum-cargo'!Q69</f>
        <v>1405636.1069999998</v>
      </c>
      <c r="N23" s="14">
        <f>'[1]sum-cargo'!Q190</f>
        <v>6103134.1749999998</v>
      </c>
      <c r="O23" s="14">
        <f>'[1]sum-cargo'!Q330</f>
        <v>11316489.456</v>
      </c>
      <c r="P23" s="14">
        <f>'[1]sum-cargo'!Q399</f>
        <v>1705872.89</v>
      </c>
      <c r="Q23" s="14">
        <f>SUM(R23:V23)</f>
        <v>26434255.508000001</v>
      </c>
      <c r="R23" s="14">
        <f>'[1]sum-cargo'!X10</f>
        <v>2664636.159</v>
      </c>
      <c r="S23" s="14">
        <f>'[1]sum-cargo'!X69</f>
        <v>435122.98499999999</v>
      </c>
      <c r="T23" s="14">
        <f>'[1]sum-cargo'!X190</f>
        <v>4691598.9269999992</v>
      </c>
      <c r="U23" s="14">
        <f>'[1]sum-cargo'!X330</f>
        <v>16758637.547</v>
      </c>
      <c r="V23" s="14">
        <f>'[1]sum-cargo'!X399</f>
        <v>1884259.8900000001</v>
      </c>
      <c r="W23" s="14">
        <f>SUM(X23:AB23)</f>
        <v>16446448.377</v>
      </c>
      <c r="X23" s="14">
        <f>'[1]sum-cargo'!AE10</f>
        <v>2907700.5</v>
      </c>
      <c r="Y23" s="14">
        <f>'[1]sum-cargo'!AE69</f>
        <v>1152195.024</v>
      </c>
      <c r="Z23" s="14">
        <f>'[1]sum-cargo'!AE190</f>
        <v>4239299.74</v>
      </c>
      <c r="AA23" s="14">
        <f>'[1]sum-cargo'!AE330</f>
        <v>6265770.7589999996</v>
      </c>
      <c r="AB23" s="14">
        <f>'[1]sum-cargo'!AE399</f>
        <v>1881482.3539999998</v>
      </c>
      <c r="AC23" s="14">
        <f>SUM(AD23:AH23)</f>
        <v>76281698.839000016</v>
      </c>
      <c r="AD23" s="14">
        <f t="shared" si="6"/>
        <v>11764176.028999999</v>
      </c>
      <c r="AE23" s="14">
        <f t="shared" si="6"/>
        <v>3844095.0749999993</v>
      </c>
      <c r="AF23" s="14">
        <f t="shared" si="6"/>
        <v>18784277.228</v>
      </c>
      <c r="AG23" s="14">
        <f t="shared" si="6"/>
        <v>35165627.364</v>
      </c>
      <c r="AH23" s="14">
        <f t="shared" si="6"/>
        <v>6723523.1429999992</v>
      </c>
    </row>
    <row r="24" spans="1:34" s="3" customFormat="1" x14ac:dyDescent="0.2">
      <c r="A24" s="12"/>
      <c r="E24" s="13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s="3" customFormat="1" ht="15.75" x14ac:dyDescent="0.25">
      <c r="A25" s="9" t="s">
        <v>23</v>
      </c>
      <c r="E25" s="10">
        <f t="shared" ref="E25:AH25" si="7">+E27+E32</f>
        <v>1800778.75</v>
      </c>
      <c r="F25" s="11">
        <f t="shared" si="7"/>
        <v>1250866</v>
      </c>
      <c r="G25" s="11">
        <f t="shared" si="7"/>
        <v>96351</v>
      </c>
      <c r="H25" s="11">
        <f t="shared" si="7"/>
        <v>107437.5</v>
      </c>
      <c r="I25" s="11">
        <f t="shared" si="7"/>
        <v>87183.25</v>
      </c>
      <c r="J25" s="11">
        <f t="shared" si="7"/>
        <v>258941</v>
      </c>
      <c r="K25" s="11">
        <f t="shared" si="7"/>
        <v>1938593.5</v>
      </c>
      <c r="L25" s="11">
        <f t="shared" si="7"/>
        <v>1365313</v>
      </c>
      <c r="M25" s="11">
        <f t="shared" si="7"/>
        <v>105416.25</v>
      </c>
      <c r="N25" s="11">
        <f t="shared" si="7"/>
        <v>116259</v>
      </c>
      <c r="O25" s="11">
        <f t="shared" si="7"/>
        <v>88331</v>
      </c>
      <c r="P25" s="11">
        <f t="shared" si="7"/>
        <v>263274.25</v>
      </c>
      <c r="Q25" s="11">
        <f t="shared" si="7"/>
        <v>1979674.5</v>
      </c>
      <c r="R25" s="11">
        <f t="shared" si="7"/>
        <v>1392714</v>
      </c>
      <c r="S25" s="11">
        <f t="shared" si="7"/>
        <v>118472.5</v>
      </c>
      <c r="T25" s="11">
        <f t="shared" si="7"/>
        <v>113756</v>
      </c>
      <c r="U25" s="11">
        <f t="shared" si="7"/>
        <v>92049</v>
      </c>
      <c r="V25" s="11">
        <f t="shared" si="7"/>
        <v>262683</v>
      </c>
      <c r="W25" s="11">
        <f t="shared" si="7"/>
        <v>2106555.75</v>
      </c>
      <c r="X25" s="11">
        <f t="shared" si="7"/>
        <v>1494034</v>
      </c>
      <c r="Y25" s="11">
        <f t="shared" si="7"/>
        <v>112316.5</v>
      </c>
      <c r="Z25" s="11">
        <f t="shared" si="7"/>
        <v>111555.5</v>
      </c>
      <c r="AA25" s="11">
        <f t="shared" si="7"/>
        <v>94508</v>
      </c>
      <c r="AB25" s="11">
        <f t="shared" si="7"/>
        <v>294141.75</v>
      </c>
      <c r="AC25" s="11">
        <f t="shared" si="7"/>
        <v>7825602.5</v>
      </c>
      <c r="AD25" s="11">
        <f t="shared" si="7"/>
        <v>5502927</v>
      </c>
      <c r="AE25" s="11">
        <f t="shared" si="7"/>
        <v>432556.25</v>
      </c>
      <c r="AF25" s="11">
        <f t="shared" si="7"/>
        <v>449008</v>
      </c>
      <c r="AG25" s="11">
        <f t="shared" si="7"/>
        <v>362071.25</v>
      </c>
      <c r="AH25" s="11">
        <f t="shared" si="7"/>
        <v>1079040</v>
      </c>
    </row>
    <row r="26" spans="1:34" s="3" customFormat="1" x14ac:dyDescent="0.2">
      <c r="A26" s="12"/>
      <c r="E26" s="13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s="3" customFormat="1" x14ac:dyDescent="0.2">
      <c r="A27" s="12"/>
      <c r="B27" s="3" t="s">
        <v>16</v>
      </c>
      <c r="E27" s="13">
        <f t="shared" ref="E27:AH27" si="8">+E29+E30</f>
        <v>642934.75</v>
      </c>
      <c r="F27" s="14">
        <f t="shared" si="8"/>
        <v>305685.75</v>
      </c>
      <c r="G27" s="14">
        <f t="shared" si="8"/>
        <v>40389</v>
      </c>
      <c r="H27" s="14">
        <f t="shared" si="8"/>
        <v>106290.5</v>
      </c>
      <c r="I27" s="14">
        <f t="shared" si="8"/>
        <v>86730.25</v>
      </c>
      <c r="J27" s="14">
        <f t="shared" si="8"/>
        <v>103839.25</v>
      </c>
      <c r="K27" s="14">
        <f t="shared" si="8"/>
        <v>659566.75</v>
      </c>
      <c r="L27" s="14">
        <f t="shared" si="8"/>
        <v>310591.75</v>
      </c>
      <c r="M27" s="14">
        <f t="shared" si="8"/>
        <v>40051</v>
      </c>
      <c r="N27" s="14">
        <f t="shared" si="8"/>
        <v>113693</v>
      </c>
      <c r="O27" s="14">
        <f t="shared" si="8"/>
        <v>88331</v>
      </c>
      <c r="P27" s="14">
        <f t="shared" si="8"/>
        <v>106900</v>
      </c>
      <c r="Q27" s="14">
        <f t="shared" si="8"/>
        <v>671452.25</v>
      </c>
      <c r="R27" s="14">
        <f t="shared" si="8"/>
        <v>313873.25</v>
      </c>
      <c r="S27" s="14">
        <f t="shared" si="8"/>
        <v>43919</v>
      </c>
      <c r="T27" s="14">
        <f t="shared" si="8"/>
        <v>110165</v>
      </c>
      <c r="U27" s="14">
        <f t="shared" si="8"/>
        <v>92049</v>
      </c>
      <c r="V27" s="14">
        <f t="shared" si="8"/>
        <v>111446</v>
      </c>
      <c r="W27" s="14">
        <f t="shared" si="8"/>
        <v>720328.25</v>
      </c>
      <c r="X27" s="14">
        <f t="shared" si="8"/>
        <v>353351</v>
      </c>
      <c r="Y27" s="14">
        <f t="shared" si="8"/>
        <v>41236</v>
      </c>
      <c r="Z27" s="14">
        <f t="shared" si="8"/>
        <v>109387.5</v>
      </c>
      <c r="AA27" s="14">
        <f t="shared" si="8"/>
        <v>94508</v>
      </c>
      <c r="AB27" s="14">
        <f t="shared" si="8"/>
        <v>121845.75</v>
      </c>
      <c r="AC27" s="14">
        <f t="shared" si="8"/>
        <v>2694282</v>
      </c>
      <c r="AD27" s="14">
        <f t="shared" si="8"/>
        <v>1283501.75</v>
      </c>
      <c r="AE27" s="14">
        <f t="shared" si="8"/>
        <v>165595</v>
      </c>
      <c r="AF27" s="14">
        <f t="shared" si="8"/>
        <v>439536</v>
      </c>
      <c r="AG27" s="14">
        <f t="shared" si="8"/>
        <v>361618.25</v>
      </c>
      <c r="AH27" s="14">
        <f t="shared" si="8"/>
        <v>444031</v>
      </c>
    </row>
    <row r="28" spans="1:34" s="3" customFormat="1" x14ac:dyDescent="0.2">
      <c r="A28" s="12"/>
      <c r="E28" s="13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s="3" customFormat="1" x14ac:dyDescent="0.2">
      <c r="A29" s="12"/>
      <c r="C29" s="3" t="s">
        <v>19</v>
      </c>
      <c r="E29" s="13">
        <f>SUM(F29:J29)</f>
        <v>320658.75</v>
      </c>
      <c r="F29" s="14">
        <f>'[1]sum-teu'!F10</f>
        <v>141598.25</v>
      </c>
      <c r="G29" s="14">
        <f>'[1]sum-teu'!F69</f>
        <v>20640</v>
      </c>
      <c r="H29" s="14">
        <f>'[1]sum-teu'!F190</f>
        <v>55636.5</v>
      </c>
      <c r="I29" s="14">
        <f>'[1]sum-teu'!F330</f>
        <v>43047.75</v>
      </c>
      <c r="J29" s="14">
        <f>'[1]sum-teu'!F399</f>
        <v>59736.25</v>
      </c>
      <c r="K29" s="14">
        <f>SUM(L29:P29)</f>
        <v>324339.75</v>
      </c>
      <c r="L29" s="14">
        <f>'[1]sum-teu'!M10</f>
        <v>140196.75</v>
      </c>
      <c r="M29" s="14">
        <f>'[1]sum-teu'!M69</f>
        <v>19881.5</v>
      </c>
      <c r="N29" s="14">
        <f>'[1]sum-teu'!M190</f>
        <v>57775</v>
      </c>
      <c r="O29" s="14">
        <f>'[1]sum-teu'!M330</f>
        <v>43636.5</v>
      </c>
      <c r="P29" s="14">
        <f>'[1]sum-teu'!M399</f>
        <v>62850</v>
      </c>
      <c r="Q29" s="14">
        <f>SUM(R29:V29)</f>
        <v>334623</v>
      </c>
      <c r="R29" s="14">
        <f>'[1]sum-teu'!T10</f>
        <v>141866.5</v>
      </c>
      <c r="S29" s="14">
        <f>'[1]sum-teu'!T69</f>
        <v>21955.5</v>
      </c>
      <c r="T29" s="14">
        <f>'[1]sum-teu'!T190</f>
        <v>58753.5</v>
      </c>
      <c r="U29" s="14">
        <f>'[1]sum-teu'!T330</f>
        <v>46844.5</v>
      </c>
      <c r="V29" s="14">
        <f>'[1]sum-teu'!T399</f>
        <v>65203</v>
      </c>
      <c r="W29" s="14">
        <f>SUM(X29:AB29)</f>
        <v>370251.5</v>
      </c>
      <c r="X29" s="14">
        <f>'[1]sum-teu'!AA10</f>
        <v>170693.5</v>
      </c>
      <c r="Y29" s="14">
        <f>'[1]sum-teu'!AA69</f>
        <v>19837.5</v>
      </c>
      <c r="Z29" s="14">
        <f>'[1]sum-teu'!AA190</f>
        <v>59810.5</v>
      </c>
      <c r="AA29" s="14">
        <f>'[1]sum-teu'!AA330</f>
        <v>48309.5</v>
      </c>
      <c r="AB29" s="14">
        <f>'[1]sum-teu'!AA399</f>
        <v>71600.5</v>
      </c>
      <c r="AC29" s="14">
        <f>SUM(AD29:AH29)</f>
        <v>1349873</v>
      </c>
      <c r="AD29" s="14">
        <f t="shared" ref="AD29:AH30" si="9">F29+L29+R29+X29</f>
        <v>594355</v>
      </c>
      <c r="AE29" s="14">
        <f t="shared" si="9"/>
        <v>82314.5</v>
      </c>
      <c r="AF29" s="14">
        <f t="shared" si="9"/>
        <v>231975.5</v>
      </c>
      <c r="AG29" s="14">
        <f t="shared" si="9"/>
        <v>181838.25</v>
      </c>
      <c r="AH29" s="14">
        <f t="shared" si="9"/>
        <v>259389.75</v>
      </c>
    </row>
    <row r="30" spans="1:34" s="3" customFormat="1" x14ac:dyDescent="0.2">
      <c r="A30" s="12"/>
      <c r="C30" s="3" t="s">
        <v>20</v>
      </c>
      <c r="E30" s="13">
        <f>SUM(F30:J30)</f>
        <v>322276</v>
      </c>
      <c r="F30" s="14">
        <f>'[1]sum-teu'!G10</f>
        <v>164087.5</v>
      </c>
      <c r="G30" s="14">
        <f>'[1]sum-teu'!G69</f>
        <v>19749</v>
      </c>
      <c r="H30" s="14">
        <f>'[1]sum-teu'!G190</f>
        <v>50654</v>
      </c>
      <c r="I30" s="14">
        <f>'[1]sum-teu'!G330</f>
        <v>43682.5</v>
      </c>
      <c r="J30" s="14">
        <f>'[1]sum-teu'!G399</f>
        <v>44103</v>
      </c>
      <c r="K30" s="14">
        <f>SUM(L30:P30)</f>
        <v>335227</v>
      </c>
      <c r="L30" s="14">
        <f>'[1]sum-teu'!N10</f>
        <v>170395</v>
      </c>
      <c r="M30" s="14">
        <f>'[1]sum-teu'!N69</f>
        <v>20169.5</v>
      </c>
      <c r="N30" s="14">
        <f>'[1]sum-teu'!N190</f>
        <v>55918</v>
      </c>
      <c r="O30" s="14">
        <f>'[1]sum-teu'!N330</f>
        <v>44694.5</v>
      </c>
      <c r="P30" s="14">
        <f>'[1]sum-teu'!N399</f>
        <v>44050</v>
      </c>
      <c r="Q30" s="14">
        <f>SUM(R30:V30)</f>
        <v>336829.25</v>
      </c>
      <c r="R30" s="14">
        <f>'[1]sum-teu'!U10</f>
        <v>172006.75</v>
      </c>
      <c r="S30" s="14">
        <f>'[1]sum-teu'!U69</f>
        <v>21963.5</v>
      </c>
      <c r="T30" s="14">
        <f>'[1]sum-teu'!U190</f>
        <v>51411.5</v>
      </c>
      <c r="U30" s="14">
        <f>'[1]sum-teu'!U330</f>
        <v>45204.5</v>
      </c>
      <c r="V30" s="14">
        <f>'[1]sum-teu'!U399</f>
        <v>46243</v>
      </c>
      <c r="W30" s="14">
        <f>SUM(X30:AB30)</f>
        <v>350076.75</v>
      </c>
      <c r="X30" s="14">
        <f>'[1]sum-teu'!AB10</f>
        <v>182657.5</v>
      </c>
      <c r="Y30" s="14">
        <f>'[1]sum-teu'!AB69</f>
        <v>21398.5</v>
      </c>
      <c r="Z30" s="14">
        <f>'[1]sum-teu'!AB190</f>
        <v>49577</v>
      </c>
      <c r="AA30" s="14">
        <f>'[1]sum-teu'!AB330</f>
        <v>46198.5</v>
      </c>
      <c r="AB30" s="14">
        <f>'[1]sum-teu'!AB399</f>
        <v>50245.25</v>
      </c>
      <c r="AC30" s="14">
        <f>SUM(AD30:AH30)</f>
        <v>1344409</v>
      </c>
      <c r="AD30" s="14">
        <f t="shared" si="9"/>
        <v>689146.75</v>
      </c>
      <c r="AE30" s="14">
        <f t="shared" si="9"/>
        <v>83280.5</v>
      </c>
      <c r="AF30" s="14">
        <f t="shared" si="9"/>
        <v>207560.5</v>
      </c>
      <c r="AG30" s="14">
        <f t="shared" si="9"/>
        <v>179780</v>
      </c>
      <c r="AH30" s="14">
        <f t="shared" si="9"/>
        <v>184641.25</v>
      </c>
    </row>
    <row r="31" spans="1:34" s="3" customFormat="1" x14ac:dyDescent="0.2">
      <c r="A31" s="12"/>
      <c r="E31" s="13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 s="3" customFormat="1" x14ac:dyDescent="0.2">
      <c r="A32" s="12"/>
      <c r="B32" s="3" t="s">
        <v>17</v>
      </c>
      <c r="E32" s="13">
        <f t="shared" ref="E32:AH32" si="10">+E34+E35</f>
        <v>1157844</v>
      </c>
      <c r="F32" s="14">
        <f t="shared" si="10"/>
        <v>945180.25</v>
      </c>
      <c r="G32" s="14">
        <f t="shared" si="10"/>
        <v>55962</v>
      </c>
      <c r="H32" s="14">
        <f t="shared" si="10"/>
        <v>1147</v>
      </c>
      <c r="I32" s="14">
        <f t="shared" si="10"/>
        <v>453</v>
      </c>
      <c r="J32" s="14">
        <f t="shared" si="10"/>
        <v>155101.75</v>
      </c>
      <c r="K32" s="14">
        <f t="shared" si="10"/>
        <v>1279026.75</v>
      </c>
      <c r="L32" s="14">
        <f t="shared" si="10"/>
        <v>1054721.25</v>
      </c>
      <c r="M32" s="14">
        <f t="shared" si="10"/>
        <v>65365.25</v>
      </c>
      <c r="N32" s="14">
        <f t="shared" si="10"/>
        <v>2566</v>
      </c>
      <c r="O32" s="14">
        <f t="shared" si="10"/>
        <v>0</v>
      </c>
      <c r="P32" s="14">
        <f t="shared" si="10"/>
        <v>156374.25</v>
      </c>
      <c r="Q32" s="14">
        <f t="shared" si="10"/>
        <v>1308222.25</v>
      </c>
      <c r="R32" s="14">
        <f t="shared" si="10"/>
        <v>1078840.75</v>
      </c>
      <c r="S32" s="14">
        <f t="shared" si="10"/>
        <v>74553.5</v>
      </c>
      <c r="T32" s="14">
        <f t="shared" si="10"/>
        <v>3591</v>
      </c>
      <c r="U32" s="14">
        <f t="shared" si="10"/>
        <v>0</v>
      </c>
      <c r="V32" s="14">
        <f t="shared" si="10"/>
        <v>151237</v>
      </c>
      <c r="W32" s="14">
        <f t="shared" si="10"/>
        <v>1386227.5</v>
      </c>
      <c r="X32" s="14">
        <f t="shared" si="10"/>
        <v>1140683</v>
      </c>
      <c r="Y32" s="14">
        <f t="shared" si="10"/>
        <v>71080.5</v>
      </c>
      <c r="Z32" s="14">
        <f t="shared" si="10"/>
        <v>2168</v>
      </c>
      <c r="AA32" s="14">
        <f t="shared" si="10"/>
        <v>0</v>
      </c>
      <c r="AB32" s="14">
        <f t="shared" si="10"/>
        <v>172296</v>
      </c>
      <c r="AC32" s="14">
        <f t="shared" si="10"/>
        <v>5131320.5</v>
      </c>
      <c r="AD32" s="14">
        <f t="shared" si="10"/>
        <v>4219425.25</v>
      </c>
      <c r="AE32" s="14">
        <f t="shared" si="10"/>
        <v>266961.25</v>
      </c>
      <c r="AF32" s="14">
        <f t="shared" si="10"/>
        <v>9472</v>
      </c>
      <c r="AG32" s="14">
        <f t="shared" si="10"/>
        <v>453</v>
      </c>
      <c r="AH32" s="14">
        <f t="shared" si="10"/>
        <v>635009</v>
      </c>
    </row>
    <row r="33" spans="1:36" s="3" customFormat="1" x14ac:dyDescent="0.2">
      <c r="A33" s="12"/>
      <c r="E33" s="13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6" s="3" customFormat="1" x14ac:dyDescent="0.2">
      <c r="A34" s="12"/>
      <c r="C34" s="3" t="s">
        <v>21</v>
      </c>
      <c r="E34" s="13">
        <f>SUM(F34:J34)</f>
        <v>576533</v>
      </c>
      <c r="F34" s="14">
        <f>'[1]sum-teu'!I10</f>
        <v>476490.75</v>
      </c>
      <c r="G34" s="14">
        <f>'[1]sum-teu'!I69</f>
        <v>28074</v>
      </c>
      <c r="H34" s="14">
        <f>'[1]sum-teu'!I190</f>
        <v>580</v>
      </c>
      <c r="I34" s="14">
        <f>'[1]sum-teu'!I330</f>
        <v>258</v>
      </c>
      <c r="J34" s="14">
        <f>'[1]sum-teu'!I399</f>
        <v>71130.25</v>
      </c>
      <c r="K34" s="14">
        <f>SUM(L34:P34)</f>
        <v>665863</v>
      </c>
      <c r="L34" s="14">
        <f>'[1]sum-teu'!P10</f>
        <v>554478.75</v>
      </c>
      <c r="M34" s="14">
        <f>'[1]sum-teu'!P69</f>
        <v>32810.75</v>
      </c>
      <c r="N34" s="14">
        <f>'[1]sum-teu'!P190</f>
        <v>1718</v>
      </c>
      <c r="O34" s="14">
        <f>'[1]sum-teu'!P330</f>
        <v>0</v>
      </c>
      <c r="P34" s="14">
        <f>'[1]sum-teu'!P399</f>
        <v>76855.5</v>
      </c>
      <c r="Q34" s="14">
        <f>SUM(R34:V34)</f>
        <v>664709.75</v>
      </c>
      <c r="R34" s="14">
        <f>'[1]sum-teu'!W10</f>
        <v>555289</v>
      </c>
      <c r="S34" s="14">
        <f>'[1]sum-teu'!W69</f>
        <v>35800.25</v>
      </c>
      <c r="T34" s="14">
        <f>'[1]sum-teu'!W190</f>
        <v>1766</v>
      </c>
      <c r="U34" s="14">
        <f>'[1]sum-teu'!W330</f>
        <v>0</v>
      </c>
      <c r="V34" s="14">
        <f>'[1]sum-teu'!W399</f>
        <v>71854.5</v>
      </c>
      <c r="W34" s="14">
        <f>SUM(X34:AB34)</f>
        <v>701939.75</v>
      </c>
      <c r="X34" s="14">
        <f>'[1]sum-teu'!AD10</f>
        <v>589457.75</v>
      </c>
      <c r="Y34" s="14">
        <f>'[1]sum-teu'!AD69</f>
        <v>32586.25</v>
      </c>
      <c r="Z34" s="14">
        <f>'[1]sum-teu'!AD190</f>
        <v>1123</v>
      </c>
      <c r="AA34" s="14">
        <f>'[1]sum-teu'!AD330</f>
        <v>0</v>
      </c>
      <c r="AB34" s="14">
        <f>'[1]sum-teu'!AD399</f>
        <v>78772.75</v>
      </c>
      <c r="AC34" s="14">
        <f>SUM(AD34:AH34)</f>
        <v>2609045.5</v>
      </c>
      <c r="AD34" s="14">
        <f t="shared" ref="AD34:AH35" si="11">F34+L34+R34+X34</f>
        <v>2175716.25</v>
      </c>
      <c r="AE34" s="14">
        <f t="shared" si="11"/>
        <v>129271.25</v>
      </c>
      <c r="AF34" s="14">
        <f t="shared" si="11"/>
        <v>5187</v>
      </c>
      <c r="AG34" s="14">
        <f t="shared" si="11"/>
        <v>258</v>
      </c>
      <c r="AH34" s="14">
        <f t="shared" si="11"/>
        <v>298613</v>
      </c>
    </row>
    <row r="35" spans="1:36" s="3" customFormat="1" x14ac:dyDescent="0.2">
      <c r="A35" s="12"/>
      <c r="C35" s="3" t="s">
        <v>22</v>
      </c>
      <c r="E35" s="13">
        <f>SUM(F35:J35)</f>
        <v>581311</v>
      </c>
      <c r="F35" s="14">
        <f>'[1]sum-teu'!J10</f>
        <v>468689.5</v>
      </c>
      <c r="G35" s="14">
        <f>'[1]sum-teu'!J69</f>
        <v>27888</v>
      </c>
      <c r="H35" s="14">
        <f>'[1]sum-teu'!J190</f>
        <v>567</v>
      </c>
      <c r="I35" s="14">
        <f>'[1]sum-teu'!J330</f>
        <v>195</v>
      </c>
      <c r="J35" s="14">
        <f>'[1]sum-teu'!J399</f>
        <v>83971.5</v>
      </c>
      <c r="K35" s="14">
        <f>SUM(L35:P35)</f>
        <v>613163.75</v>
      </c>
      <c r="L35" s="14">
        <f>'[1]sum-teu'!Q10</f>
        <v>500242.5</v>
      </c>
      <c r="M35" s="14">
        <f>'[1]sum-teu'!Q69</f>
        <v>32554.5</v>
      </c>
      <c r="N35" s="14">
        <f>'[1]sum-teu'!Q190</f>
        <v>848</v>
      </c>
      <c r="O35" s="14">
        <f>'[1]sum-teu'!Q330</f>
        <v>0</v>
      </c>
      <c r="P35" s="14">
        <f>'[1]sum-teu'!Q399</f>
        <v>79518.75</v>
      </c>
      <c r="Q35" s="14">
        <f>SUM(R35:V35)</f>
        <v>643512.5</v>
      </c>
      <c r="R35" s="14">
        <f>'[1]sum-teu'!X10</f>
        <v>523551.75</v>
      </c>
      <c r="S35" s="14">
        <f>'[1]sum-teu'!X69</f>
        <v>38753.25</v>
      </c>
      <c r="T35" s="14">
        <f>'[1]sum-teu'!X190</f>
        <v>1825</v>
      </c>
      <c r="U35" s="14">
        <f>'[1]sum-teu'!X330</f>
        <v>0</v>
      </c>
      <c r="V35" s="14">
        <f>'[1]sum-teu'!X399</f>
        <v>79382.5</v>
      </c>
      <c r="W35" s="14">
        <f>SUM(X35:AB35)</f>
        <v>684287.75</v>
      </c>
      <c r="X35" s="14">
        <f>'[1]sum-teu'!AE10</f>
        <v>551225.25</v>
      </c>
      <c r="Y35" s="14">
        <f>'[1]sum-teu'!AE69</f>
        <v>38494.25</v>
      </c>
      <c r="Z35" s="14">
        <f>'[1]sum-teu'!AE190</f>
        <v>1045</v>
      </c>
      <c r="AA35" s="14">
        <f>'[1]sum-teu'!AE330</f>
        <v>0</v>
      </c>
      <c r="AB35" s="14">
        <f>'[1]sum-teu'!AE399</f>
        <v>93523.25</v>
      </c>
      <c r="AC35" s="14">
        <f>SUM(AD35:AH35)</f>
        <v>2522275</v>
      </c>
      <c r="AD35" s="14">
        <f t="shared" si="11"/>
        <v>2043709</v>
      </c>
      <c r="AE35" s="14">
        <f t="shared" si="11"/>
        <v>137690</v>
      </c>
      <c r="AF35" s="14">
        <f t="shared" si="11"/>
        <v>4285</v>
      </c>
      <c r="AG35" s="14">
        <f t="shared" si="11"/>
        <v>195</v>
      </c>
      <c r="AH35" s="14">
        <f t="shared" si="11"/>
        <v>336396</v>
      </c>
    </row>
    <row r="36" spans="1:36" s="3" customFormat="1" x14ac:dyDescent="0.2">
      <c r="A36" s="12"/>
      <c r="E36" s="13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6" s="3" customFormat="1" ht="15.75" x14ac:dyDescent="0.25">
      <c r="A37" s="9" t="s">
        <v>24</v>
      </c>
      <c r="E37" s="10">
        <f t="shared" ref="E37:AH37" si="12">+E38+E39+E40</f>
        <v>18847365</v>
      </c>
      <c r="F37" s="10">
        <f t="shared" si="12"/>
        <v>260242</v>
      </c>
      <c r="G37" s="10">
        <f t="shared" si="12"/>
        <v>5077891</v>
      </c>
      <c r="H37" s="10">
        <f t="shared" si="12"/>
        <v>9341182</v>
      </c>
      <c r="I37" s="10">
        <f t="shared" si="12"/>
        <v>2198632</v>
      </c>
      <c r="J37" s="10">
        <f t="shared" si="12"/>
        <v>1969418</v>
      </c>
      <c r="K37" s="11">
        <f t="shared" si="12"/>
        <v>22858813</v>
      </c>
      <c r="L37" s="11">
        <f t="shared" si="12"/>
        <v>272352</v>
      </c>
      <c r="M37" s="11">
        <f t="shared" si="12"/>
        <v>6166196</v>
      </c>
      <c r="N37" s="11">
        <f t="shared" si="12"/>
        <v>11261215</v>
      </c>
      <c r="O37" s="11">
        <f t="shared" si="12"/>
        <v>2866328</v>
      </c>
      <c r="P37" s="11">
        <f t="shared" si="12"/>
        <v>2292722</v>
      </c>
      <c r="Q37" s="11">
        <f t="shared" si="12"/>
        <v>18767629</v>
      </c>
      <c r="R37" s="11">
        <f t="shared" si="12"/>
        <v>225870</v>
      </c>
      <c r="S37" s="11">
        <f t="shared" si="12"/>
        <v>4485080</v>
      </c>
      <c r="T37" s="11">
        <f t="shared" si="12"/>
        <v>9441894</v>
      </c>
      <c r="U37" s="11">
        <f t="shared" si="12"/>
        <v>2465053</v>
      </c>
      <c r="V37" s="11">
        <f t="shared" si="12"/>
        <v>2149732</v>
      </c>
      <c r="W37" s="11">
        <f t="shared" si="12"/>
        <v>18268714</v>
      </c>
      <c r="X37" s="11">
        <f t="shared" si="12"/>
        <v>161255</v>
      </c>
      <c r="Y37" s="11">
        <f t="shared" si="12"/>
        <v>4581059</v>
      </c>
      <c r="Z37" s="11">
        <f t="shared" si="12"/>
        <v>9718351</v>
      </c>
      <c r="AA37" s="11">
        <f t="shared" si="12"/>
        <v>1609685</v>
      </c>
      <c r="AB37" s="11">
        <f t="shared" si="12"/>
        <v>2198364</v>
      </c>
      <c r="AC37" s="11">
        <f t="shared" si="12"/>
        <v>78742521</v>
      </c>
      <c r="AD37" s="11">
        <f t="shared" si="12"/>
        <v>919719</v>
      </c>
      <c r="AE37" s="11">
        <f t="shared" si="12"/>
        <v>20310226</v>
      </c>
      <c r="AF37" s="11">
        <f t="shared" si="12"/>
        <v>39762642</v>
      </c>
      <c r="AG37" s="11">
        <f t="shared" si="12"/>
        <v>9139698</v>
      </c>
      <c r="AH37" s="11">
        <f t="shared" si="12"/>
        <v>8610236</v>
      </c>
    </row>
    <row r="38" spans="1:36" s="3" customFormat="1" x14ac:dyDescent="0.2">
      <c r="A38" s="12"/>
      <c r="B38" s="3" t="s">
        <v>25</v>
      </c>
      <c r="E38" s="13">
        <f>SUM(F38:J38)</f>
        <v>9410176.5</v>
      </c>
      <c r="F38" s="13">
        <f>'[1]sum-pass'!E10</f>
        <v>115257</v>
      </c>
      <c r="G38" s="13">
        <f>'[1]sum-pass'!E69</f>
        <v>2549289</v>
      </c>
      <c r="H38" s="13">
        <f>'[1]sum-pass'!E190</f>
        <v>4670477.5</v>
      </c>
      <c r="I38" s="13">
        <f>'[1]sum-pass'!E330</f>
        <v>1087874</v>
      </c>
      <c r="J38" s="13">
        <f>'[1]sum-pass'!E399</f>
        <v>987279</v>
      </c>
      <c r="K38" s="14">
        <f>SUM(L38:P38)</f>
        <v>11523236.5</v>
      </c>
      <c r="L38" s="14">
        <f>'[1]sum-pass'!I10</f>
        <v>141794</v>
      </c>
      <c r="M38" s="14">
        <f>'[1]sum-pass'!I69</f>
        <v>3082256</v>
      </c>
      <c r="N38" s="14">
        <f>'[1]sum-pass'!I190</f>
        <v>5695540.5</v>
      </c>
      <c r="O38" s="14">
        <f>'[1]sum-pass'!I330</f>
        <v>1438598</v>
      </c>
      <c r="P38" s="14">
        <f>'[1]sum-pass'!I399</f>
        <v>1165048</v>
      </c>
      <c r="Q38" s="14">
        <f>SUM(R38:V38)</f>
        <v>9484250</v>
      </c>
      <c r="R38" s="14">
        <f>'[1]sum-pass'!M10</f>
        <v>116243</v>
      </c>
      <c r="S38" s="14">
        <f>'[1]sum-pass'!M69</f>
        <v>2255763</v>
      </c>
      <c r="T38" s="14">
        <f>'[1]sum-pass'!M190</f>
        <v>4766747</v>
      </c>
      <c r="U38" s="14">
        <f>'[1]sum-pass'!M330</f>
        <v>1246980</v>
      </c>
      <c r="V38" s="14">
        <f>'[1]sum-pass'!M399</f>
        <v>1098517</v>
      </c>
      <c r="W38" s="14">
        <f>SUM(X38:AB38)</f>
        <v>9292869</v>
      </c>
      <c r="X38" s="14">
        <f>'[1]sum-pass'!Q10</f>
        <v>68043</v>
      </c>
      <c r="Y38" s="14">
        <f>'[1]sum-pass'!Q69</f>
        <v>2281742</v>
      </c>
      <c r="Z38" s="14">
        <f>'[1]sum-pass'!Q190</f>
        <v>4970683</v>
      </c>
      <c r="AA38" s="14">
        <f>'[1]sum-pass'!Q330</f>
        <v>833866</v>
      </c>
      <c r="AB38" s="14">
        <f>'[1]sum-pass'!Q399</f>
        <v>1138535</v>
      </c>
      <c r="AC38" s="14">
        <f>SUM(AD38:AH38)</f>
        <v>39710532</v>
      </c>
      <c r="AD38" s="14">
        <f t="shared" ref="AD38:AH40" si="13">F38+L38+R38+X38</f>
        <v>441337</v>
      </c>
      <c r="AE38" s="14">
        <f t="shared" si="13"/>
        <v>10169050</v>
      </c>
      <c r="AF38" s="14">
        <f t="shared" si="13"/>
        <v>20103448</v>
      </c>
      <c r="AG38" s="14">
        <f t="shared" si="13"/>
        <v>4607318</v>
      </c>
      <c r="AH38" s="14">
        <f t="shared" si="13"/>
        <v>4389379</v>
      </c>
    </row>
    <row r="39" spans="1:36" s="3" customFormat="1" x14ac:dyDescent="0.2">
      <c r="A39" s="12"/>
      <c r="B39" s="3" t="s">
        <v>26</v>
      </c>
      <c r="E39" s="13">
        <f>SUM(F39:J39)</f>
        <v>9364124.5</v>
      </c>
      <c r="F39" s="13">
        <f>'[1]sum-pass'!F10</f>
        <v>103413</v>
      </c>
      <c r="G39" s="13">
        <f>'[1]sum-pass'!F69</f>
        <v>2499799</v>
      </c>
      <c r="H39" s="13">
        <f>'[1]sum-pass'!F190</f>
        <v>4668015.5</v>
      </c>
      <c r="I39" s="13">
        <f>'[1]sum-pass'!F330</f>
        <v>1110758</v>
      </c>
      <c r="J39" s="13">
        <f>'[1]sum-pass'!F399</f>
        <v>982139</v>
      </c>
      <c r="K39" s="14">
        <f>SUM(L39:P39)</f>
        <v>11333791.5</v>
      </c>
      <c r="L39" s="14">
        <f>'[1]sum-pass'!J10</f>
        <v>129924</v>
      </c>
      <c r="M39" s="14">
        <f>'[1]sum-pass'!J69</f>
        <v>3083185</v>
      </c>
      <c r="N39" s="14">
        <f>'[1]sum-pass'!J190</f>
        <v>5565470.5</v>
      </c>
      <c r="O39" s="14">
        <f>'[1]sum-pass'!J330</f>
        <v>1427538</v>
      </c>
      <c r="P39" s="14">
        <f>'[1]sum-pass'!J399</f>
        <v>1127674</v>
      </c>
      <c r="Q39" s="14">
        <f>SUM(R39:V39)</f>
        <v>9277640</v>
      </c>
      <c r="R39" s="14">
        <f>'[1]sum-pass'!N10</f>
        <v>104129</v>
      </c>
      <c r="S39" s="14">
        <f>'[1]sum-pass'!N69</f>
        <v>2229076</v>
      </c>
      <c r="T39" s="14">
        <f>'[1]sum-pass'!N190</f>
        <v>4675147</v>
      </c>
      <c r="U39" s="14">
        <f>'[1]sum-pass'!N330</f>
        <v>1218073</v>
      </c>
      <c r="V39" s="14">
        <f>'[1]sum-pass'!N399</f>
        <v>1051215</v>
      </c>
      <c r="W39" s="14">
        <f>SUM(X39:AB39)</f>
        <v>8921691</v>
      </c>
      <c r="X39" s="14">
        <f>'[1]sum-pass'!R10</f>
        <v>67812</v>
      </c>
      <c r="Y39" s="14">
        <f>'[1]sum-pass'!R69</f>
        <v>2271063</v>
      </c>
      <c r="Z39" s="14">
        <f>'[1]sum-pass'!R190</f>
        <v>4747262</v>
      </c>
      <c r="AA39" s="14">
        <f>'[1]sum-pass'!R330</f>
        <v>775725</v>
      </c>
      <c r="AB39" s="14">
        <f>'[1]sum-pass'!R399</f>
        <v>1059829</v>
      </c>
      <c r="AC39" s="14">
        <f>SUM(AD39:AH39)</f>
        <v>38897247</v>
      </c>
      <c r="AD39" s="14">
        <f t="shared" si="13"/>
        <v>405278</v>
      </c>
      <c r="AE39" s="14">
        <f t="shared" si="13"/>
        <v>10083123</v>
      </c>
      <c r="AF39" s="14">
        <f t="shared" si="13"/>
        <v>19655895</v>
      </c>
      <c r="AG39" s="14">
        <f t="shared" si="13"/>
        <v>4532094</v>
      </c>
      <c r="AH39" s="14">
        <f t="shared" si="13"/>
        <v>4220857</v>
      </c>
    </row>
    <row r="40" spans="1:36" s="3" customFormat="1" x14ac:dyDescent="0.2">
      <c r="A40" s="12"/>
      <c r="B40" s="3" t="s">
        <v>27</v>
      </c>
      <c r="E40" s="13">
        <f>SUM(F40:J40)</f>
        <v>73064</v>
      </c>
      <c r="F40" s="13">
        <f>'[1]sum-pass'!$G$10</f>
        <v>41572</v>
      </c>
      <c r="G40" s="13">
        <f>'[1]sum-pass'!$G$69</f>
        <v>28803</v>
      </c>
      <c r="H40" s="13">
        <f>'[1]sum-pass'!$G$190</f>
        <v>2689</v>
      </c>
      <c r="I40" s="13">
        <f>'[1]sum-pass'!$G$330</f>
        <v>0</v>
      </c>
      <c r="J40" s="13">
        <f>'[1]sum-pass'!$G$399</f>
        <v>0</v>
      </c>
      <c r="K40" s="14">
        <f>SUM(L40:P40)</f>
        <v>1785</v>
      </c>
      <c r="L40" s="14">
        <f>'[1]sum-pass'!$K$10</f>
        <v>634</v>
      </c>
      <c r="M40" s="14">
        <f>'[1]sum-pass'!$K$69</f>
        <v>755</v>
      </c>
      <c r="N40" s="14">
        <f>'[1]sum-pass'!$K$190</f>
        <v>204</v>
      </c>
      <c r="O40" s="14">
        <f>'[1]sum-pass'!$K$330</f>
        <v>192</v>
      </c>
      <c r="P40" s="14">
        <f>'[1]sum-pass'!$K$399</f>
        <v>0</v>
      </c>
      <c r="Q40" s="14">
        <f>SUM(R40:V40)</f>
        <v>5739</v>
      </c>
      <c r="R40" s="14">
        <f>'[1]sum-pass'!$O$10</f>
        <v>5498</v>
      </c>
      <c r="S40" s="14">
        <f>'[1]sum-pass'!$O$69</f>
        <v>241</v>
      </c>
      <c r="T40" s="14">
        <f>'[1]sum-pass'!$O$190</f>
        <v>0</v>
      </c>
      <c r="U40" s="14">
        <f>'[1]sum-pass'!$O$330</f>
        <v>0</v>
      </c>
      <c r="V40" s="14">
        <f>'[1]sum-pass'!$O$399</f>
        <v>0</v>
      </c>
      <c r="W40" s="14">
        <f>SUM(X40:AB40)</f>
        <v>54154</v>
      </c>
      <c r="X40" s="14">
        <f>'[1]sum-pass'!$S$10</f>
        <v>25400</v>
      </c>
      <c r="Y40" s="14">
        <f>'[1]sum-pass'!$S$69</f>
        <v>28254</v>
      </c>
      <c r="Z40" s="14">
        <f>'[1]sum-pass'!$S$190</f>
        <v>406</v>
      </c>
      <c r="AA40" s="14">
        <f>'[1]sum-pass'!$S$330</f>
        <v>94</v>
      </c>
      <c r="AB40" s="14">
        <f>'[1]sum-pass'!$S$399</f>
        <v>0</v>
      </c>
      <c r="AC40" s="14">
        <f>SUM(AD40:AH40)</f>
        <v>134742</v>
      </c>
      <c r="AD40" s="14">
        <f t="shared" si="13"/>
        <v>73104</v>
      </c>
      <c r="AE40" s="14">
        <f t="shared" si="13"/>
        <v>58053</v>
      </c>
      <c r="AF40" s="14">
        <f t="shared" si="13"/>
        <v>3299</v>
      </c>
      <c r="AG40" s="14">
        <f t="shared" si="13"/>
        <v>286</v>
      </c>
      <c r="AH40" s="14">
        <f t="shared" si="13"/>
        <v>0</v>
      </c>
    </row>
    <row r="41" spans="1:36" s="3" customFormat="1" x14ac:dyDescent="0.2">
      <c r="A41" s="12"/>
      <c r="E41" s="13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6" s="15" customFormat="1" ht="15.75" x14ac:dyDescent="0.25">
      <c r="A42" s="9" t="s">
        <v>28</v>
      </c>
      <c r="E42" s="10">
        <f t="shared" ref="E42:AH42" si="14">E44+E50</f>
        <v>2790269</v>
      </c>
      <c r="F42" s="11">
        <f t="shared" si="14"/>
        <v>0</v>
      </c>
      <c r="G42" s="11">
        <f t="shared" si="14"/>
        <v>832014</v>
      </c>
      <c r="H42" s="11">
        <f t="shared" si="14"/>
        <v>1157273</v>
      </c>
      <c r="I42" s="11">
        <f t="shared" si="14"/>
        <v>385770</v>
      </c>
      <c r="J42" s="11">
        <f t="shared" si="14"/>
        <v>415212</v>
      </c>
      <c r="K42" s="11">
        <f t="shared" si="14"/>
        <v>3053008</v>
      </c>
      <c r="L42" s="11">
        <f t="shared" si="14"/>
        <v>13</v>
      </c>
      <c r="M42" s="11">
        <f t="shared" si="14"/>
        <v>921263</v>
      </c>
      <c r="N42" s="11">
        <f t="shared" si="14"/>
        <v>1277424</v>
      </c>
      <c r="O42" s="11">
        <f t="shared" si="14"/>
        <v>446115</v>
      </c>
      <c r="P42" s="11">
        <f t="shared" si="14"/>
        <v>408193</v>
      </c>
      <c r="Q42" s="11">
        <f t="shared" si="14"/>
        <v>2766724</v>
      </c>
      <c r="R42" s="11">
        <f t="shared" si="14"/>
        <v>0</v>
      </c>
      <c r="S42" s="11">
        <f t="shared" si="14"/>
        <v>801386</v>
      </c>
      <c r="T42" s="11">
        <f t="shared" si="14"/>
        <v>1143156</v>
      </c>
      <c r="U42" s="11">
        <f t="shared" si="14"/>
        <v>413690</v>
      </c>
      <c r="V42" s="11">
        <f t="shared" si="14"/>
        <v>408492</v>
      </c>
      <c r="W42" s="11">
        <f t="shared" si="14"/>
        <v>2660739</v>
      </c>
      <c r="X42" s="11">
        <f t="shared" si="14"/>
        <v>0</v>
      </c>
      <c r="Y42" s="11">
        <f t="shared" si="14"/>
        <v>814594</v>
      </c>
      <c r="Z42" s="11">
        <f t="shared" si="14"/>
        <v>1203652</v>
      </c>
      <c r="AA42" s="11">
        <f t="shared" si="14"/>
        <v>202594</v>
      </c>
      <c r="AB42" s="11">
        <f t="shared" si="14"/>
        <v>439899</v>
      </c>
      <c r="AC42" s="11">
        <f t="shared" si="14"/>
        <v>11270740</v>
      </c>
      <c r="AD42" s="11">
        <f t="shared" si="14"/>
        <v>13</v>
      </c>
      <c r="AE42" s="11">
        <f t="shared" si="14"/>
        <v>3369257</v>
      </c>
      <c r="AF42" s="11">
        <f t="shared" si="14"/>
        <v>4781505</v>
      </c>
      <c r="AG42" s="11">
        <f t="shared" si="14"/>
        <v>1448169</v>
      </c>
      <c r="AH42" s="11">
        <f t="shared" si="14"/>
        <v>1671796</v>
      </c>
      <c r="AJ42" s="3"/>
    </row>
    <row r="43" spans="1:36" s="3" customFormat="1" x14ac:dyDescent="0.2">
      <c r="A43" s="12"/>
      <c r="E43" s="13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6" s="3" customFormat="1" x14ac:dyDescent="0.2">
      <c r="A44" s="12"/>
      <c r="B44" s="3" t="s">
        <v>19</v>
      </c>
      <c r="E44" s="13">
        <f t="shared" ref="E44:AH44" si="15">SUM(E45:E48)</f>
        <v>1397371</v>
      </c>
      <c r="F44" s="14">
        <f t="shared" si="15"/>
        <v>0</v>
      </c>
      <c r="G44" s="14">
        <f t="shared" si="15"/>
        <v>409778</v>
      </c>
      <c r="H44" s="14">
        <f t="shared" si="15"/>
        <v>582084</v>
      </c>
      <c r="I44" s="14">
        <f t="shared" si="15"/>
        <v>194785</v>
      </c>
      <c r="J44" s="14">
        <f t="shared" si="15"/>
        <v>210724</v>
      </c>
      <c r="K44" s="14">
        <f t="shared" si="15"/>
        <v>1539644</v>
      </c>
      <c r="L44" s="14">
        <f t="shared" si="15"/>
        <v>7</v>
      </c>
      <c r="M44" s="14">
        <f t="shared" si="15"/>
        <v>453068</v>
      </c>
      <c r="N44" s="14">
        <f t="shared" si="15"/>
        <v>648820</v>
      </c>
      <c r="O44" s="14">
        <f t="shared" si="15"/>
        <v>225067</v>
      </c>
      <c r="P44" s="14">
        <f t="shared" si="15"/>
        <v>212682</v>
      </c>
      <c r="Q44" s="14">
        <f t="shared" si="15"/>
        <v>1393353</v>
      </c>
      <c r="R44" s="14">
        <f t="shared" si="15"/>
        <v>0</v>
      </c>
      <c r="S44" s="14">
        <f t="shared" si="15"/>
        <v>394874</v>
      </c>
      <c r="T44" s="14">
        <f t="shared" si="15"/>
        <v>580782</v>
      </c>
      <c r="U44" s="14">
        <f t="shared" si="15"/>
        <v>208676</v>
      </c>
      <c r="V44" s="14">
        <f t="shared" si="15"/>
        <v>209021</v>
      </c>
      <c r="W44" s="14">
        <f t="shared" si="15"/>
        <v>1348993</v>
      </c>
      <c r="X44" s="14">
        <f t="shared" si="15"/>
        <v>0</v>
      </c>
      <c r="Y44" s="14">
        <f t="shared" si="15"/>
        <v>400998</v>
      </c>
      <c r="Z44" s="14">
        <f t="shared" si="15"/>
        <v>612342</v>
      </c>
      <c r="AA44" s="14">
        <f t="shared" si="15"/>
        <v>104423</v>
      </c>
      <c r="AB44" s="14">
        <f t="shared" si="15"/>
        <v>231230</v>
      </c>
      <c r="AC44" s="14">
        <f t="shared" si="15"/>
        <v>5679361</v>
      </c>
      <c r="AD44" s="14">
        <f t="shared" si="15"/>
        <v>7</v>
      </c>
      <c r="AE44" s="14">
        <f t="shared" si="15"/>
        <v>1658718</v>
      </c>
      <c r="AF44" s="14">
        <f t="shared" si="15"/>
        <v>2424028</v>
      </c>
      <c r="AG44" s="14">
        <f t="shared" si="15"/>
        <v>732951</v>
      </c>
      <c r="AH44" s="14">
        <f t="shared" si="15"/>
        <v>863657</v>
      </c>
    </row>
    <row r="45" spans="1:36" s="3" customFormat="1" x14ac:dyDescent="0.2">
      <c r="A45" s="12"/>
      <c r="C45" s="3" t="s">
        <v>29</v>
      </c>
      <c r="E45" s="13">
        <f>SUM(F45:J45)</f>
        <v>419481</v>
      </c>
      <c r="F45" s="14">
        <f>'[1]sum-roro'!F10</f>
        <v>0</v>
      </c>
      <c r="G45" s="14">
        <f>'[1]sum-roro'!F69</f>
        <v>67793</v>
      </c>
      <c r="H45" s="14">
        <f>'[1]sum-roro'!F190</f>
        <v>156709</v>
      </c>
      <c r="I45" s="14">
        <f>'[1]sum-roro'!F330</f>
        <v>64222</v>
      </c>
      <c r="J45" s="14">
        <f>'[1]sum-roro'!F399</f>
        <v>130757</v>
      </c>
      <c r="K45" s="14">
        <f>SUM(L45:P45)</f>
        <v>432729</v>
      </c>
      <c r="L45" s="14">
        <f>'[1]sum-roro'!Q10</f>
        <v>0</v>
      </c>
      <c r="M45" s="14">
        <f>'[1]sum-roro'!Q69</f>
        <v>73892</v>
      </c>
      <c r="N45" s="14">
        <f>'[1]sum-roro'!Q190</f>
        <v>166726</v>
      </c>
      <c r="O45" s="14">
        <f>'[1]sum-roro'!Q330</f>
        <v>71563</v>
      </c>
      <c r="P45" s="14">
        <f>'[1]sum-roro'!Q399</f>
        <v>120548</v>
      </c>
      <c r="Q45" s="14">
        <f>SUM(R45:V45)</f>
        <v>364456</v>
      </c>
      <c r="R45" s="14">
        <f>'[1]sum-roro'!AB10</f>
        <v>0</v>
      </c>
      <c r="S45" s="14">
        <f>'[1]sum-roro'!AB69</f>
        <v>55114</v>
      </c>
      <c r="T45" s="14">
        <f>'[1]sum-roro'!AB190</f>
        <v>135350</v>
      </c>
      <c r="U45" s="14">
        <f>'[1]sum-roro'!AB330</f>
        <v>65054</v>
      </c>
      <c r="V45" s="14">
        <f>'[1]sum-roro'!AB399</f>
        <v>108938</v>
      </c>
      <c r="W45" s="14">
        <f>SUM(X45:AB45)</f>
        <v>363635</v>
      </c>
      <c r="X45" s="14">
        <f>'[1]sum-roro'!AM10</f>
        <v>0</v>
      </c>
      <c r="Y45" s="14">
        <f>'[1]sum-roro'!AM69</f>
        <v>64232</v>
      </c>
      <c r="Z45" s="14">
        <f>'[1]sum-roro'!AM190</f>
        <v>152450</v>
      </c>
      <c r="AA45" s="14">
        <f>'[1]sum-roro'!AM330</f>
        <v>22107</v>
      </c>
      <c r="AB45" s="14">
        <f>'[1]sum-roro'!AM399</f>
        <v>124846</v>
      </c>
      <c r="AC45" s="14">
        <f>SUM(AD45:AH45)</f>
        <v>1580301</v>
      </c>
      <c r="AD45" s="14">
        <f t="shared" ref="AD45:AH48" si="16">F45+L45+R45+X45</f>
        <v>0</v>
      </c>
      <c r="AE45" s="14">
        <f t="shared" si="16"/>
        <v>261031</v>
      </c>
      <c r="AF45" s="14">
        <f t="shared" si="16"/>
        <v>611235</v>
      </c>
      <c r="AG45" s="14">
        <f t="shared" si="16"/>
        <v>222946</v>
      </c>
      <c r="AH45" s="14">
        <f t="shared" si="16"/>
        <v>485089</v>
      </c>
    </row>
    <row r="46" spans="1:36" s="3" customFormat="1" x14ac:dyDescent="0.2">
      <c r="A46" s="12"/>
      <c r="C46" s="3" t="s">
        <v>30</v>
      </c>
      <c r="E46" s="13">
        <f>SUM(F46:J46)</f>
        <v>454607</v>
      </c>
      <c r="F46" s="14">
        <f>'[1]sum-roro'!G10</f>
        <v>0</v>
      </c>
      <c r="G46" s="14">
        <f>'[1]sum-roro'!G69</f>
        <v>130682</v>
      </c>
      <c r="H46" s="14">
        <f>'[1]sum-roro'!G190</f>
        <v>195273</v>
      </c>
      <c r="I46" s="14">
        <f>'[1]sum-roro'!G330</f>
        <v>74049</v>
      </c>
      <c r="J46" s="14">
        <f>'[1]sum-roro'!G399</f>
        <v>54603</v>
      </c>
      <c r="K46" s="14">
        <f>SUM(L46:P46)</f>
        <v>543269</v>
      </c>
      <c r="L46" s="14">
        <f>'[1]sum-roro'!R10</f>
        <v>0</v>
      </c>
      <c r="M46" s="14">
        <f>'[1]sum-roro'!R69</f>
        <v>149522</v>
      </c>
      <c r="N46" s="14">
        <f>'[1]sum-roro'!R190</f>
        <v>237477</v>
      </c>
      <c r="O46" s="14">
        <f>'[1]sum-roro'!R330</f>
        <v>92092</v>
      </c>
      <c r="P46" s="14">
        <f>'[1]sum-roro'!R399</f>
        <v>64178</v>
      </c>
      <c r="Q46" s="14">
        <f>SUM(R46:V46)</f>
        <v>476166</v>
      </c>
      <c r="R46" s="14">
        <f>'[1]sum-roro'!AC10</f>
        <v>0</v>
      </c>
      <c r="S46" s="14">
        <f>'[1]sum-roro'!AC69</f>
        <v>125752</v>
      </c>
      <c r="T46" s="14">
        <f>'[1]sum-roro'!AC190</f>
        <v>197706</v>
      </c>
      <c r="U46" s="14">
        <f>'[1]sum-roro'!AC330</f>
        <v>83722</v>
      </c>
      <c r="V46" s="14">
        <f>'[1]sum-roro'!AC399</f>
        <v>68986</v>
      </c>
      <c r="W46" s="14">
        <f>SUM(X46:AB46)</f>
        <v>433736</v>
      </c>
      <c r="X46" s="14">
        <f>'[1]sum-roro'!AN10</f>
        <v>0</v>
      </c>
      <c r="Y46" s="14">
        <f>'[1]sum-roro'!AN69</f>
        <v>123372</v>
      </c>
      <c r="Z46" s="14">
        <f>'[1]sum-roro'!AN190</f>
        <v>201659</v>
      </c>
      <c r="AA46" s="14">
        <f>'[1]sum-roro'!AN330</f>
        <v>35575</v>
      </c>
      <c r="AB46" s="14">
        <f>'[1]sum-roro'!AN399</f>
        <v>73130</v>
      </c>
      <c r="AC46" s="14">
        <f>SUM(AD46:AH46)</f>
        <v>1907778</v>
      </c>
      <c r="AD46" s="14">
        <f t="shared" si="16"/>
        <v>0</v>
      </c>
      <c r="AE46" s="14">
        <f t="shared" si="16"/>
        <v>529328</v>
      </c>
      <c r="AF46" s="14">
        <f t="shared" si="16"/>
        <v>832115</v>
      </c>
      <c r="AG46" s="14">
        <f t="shared" si="16"/>
        <v>285438</v>
      </c>
      <c r="AH46" s="14">
        <f t="shared" si="16"/>
        <v>260897</v>
      </c>
    </row>
    <row r="47" spans="1:36" s="3" customFormat="1" x14ac:dyDescent="0.2">
      <c r="A47" s="12"/>
      <c r="C47" s="3" t="s">
        <v>31</v>
      </c>
      <c r="E47" s="13">
        <f>SUM(F47:J47)</f>
        <v>162232</v>
      </c>
      <c r="F47" s="14">
        <f>'[1]sum-roro'!H10</f>
        <v>0</v>
      </c>
      <c r="G47" s="14">
        <f>'[1]sum-roro'!H69</f>
        <v>63011</v>
      </c>
      <c r="H47" s="14">
        <f>'[1]sum-roro'!H190</f>
        <v>63378</v>
      </c>
      <c r="I47" s="14">
        <f>'[1]sum-roro'!H330</f>
        <v>23683</v>
      </c>
      <c r="J47" s="14">
        <f>'[1]sum-roro'!H399</f>
        <v>12160</v>
      </c>
      <c r="K47" s="14">
        <f>SUM(L47:P47)</f>
        <v>180947</v>
      </c>
      <c r="L47" s="14">
        <f>'[1]sum-roro'!S10</f>
        <v>0</v>
      </c>
      <c r="M47" s="14">
        <f>'[1]sum-roro'!S69</f>
        <v>70321</v>
      </c>
      <c r="N47" s="14">
        <f>'[1]sum-roro'!S190</f>
        <v>69997</v>
      </c>
      <c r="O47" s="14">
        <f>'[1]sum-roro'!S330</f>
        <v>25517</v>
      </c>
      <c r="P47" s="14">
        <f>'[1]sum-roro'!S399</f>
        <v>15112</v>
      </c>
      <c r="Q47" s="14">
        <f>SUM(R47:V47)</f>
        <v>176621</v>
      </c>
      <c r="R47" s="14">
        <f>'[1]sum-roro'!AD10</f>
        <v>0</v>
      </c>
      <c r="S47" s="14">
        <f>'[1]sum-roro'!AD69</f>
        <v>65907</v>
      </c>
      <c r="T47" s="14">
        <f>'[1]sum-roro'!AD190</f>
        <v>68874</v>
      </c>
      <c r="U47" s="14">
        <f>'[1]sum-roro'!AD330</f>
        <v>24977</v>
      </c>
      <c r="V47" s="14">
        <f>'[1]sum-roro'!AD399</f>
        <v>16863</v>
      </c>
      <c r="W47" s="14">
        <f>SUM(X47:AB47)</f>
        <v>165539</v>
      </c>
      <c r="X47" s="14">
        <f>'[1]sum-roro'!AO10</f>
        <v>0</v>
      </c>
      <c r="Y47" s="14">
        <f>'[1]sum-roro'!AO69</f>
        <v>65337</v>
      </c>
      <c r="Z47" s="14">
        <f>'[1]sum-roro'!AO190</f>
        <v>68915</v>
      </c>
      <c r="AA47" s="14">
        <f>'[1]sum-roro'!AO330</f>
        <v>13056</v>
      </c>
      <c r="AB47" s="14">
        <f>'[1]sum-roro'!AO399</f>
        <v>18231</v>
      </c>
      <c r="AC47" s="14">
        <f>SUM(AD47:AH47)</f>
        <v>685339</v>
      </c>
      <c r="AD47" s="14">
        <f t="shared" si="16"/>
        <v>0</v>
      </c>
      <c r="AE47" s="14">
        <f t="shared" si="16"/>
        <v>264576</v>
      </c>
      <c r="AF47" s="14">
        <f t="shared" si="16"/>
        <v>271164</v>
      </c>
      <c r="AG47" s="14">
        <f t="shared" si="16"/>
        <v>87233</v>
      </c>
      <c r="AH47" s="14">
        <f t="shared" si="16"/>
        <v>62366</v>
      </c>
    </row>
    <row r="48" spans="1:36" s="3" customFormat="1" x14ac:dyDescent="0.2">
      <c r="A48" s="12"/>
      <c r="C48" s="3" t="s">
        <v>32</v>
      </c>
      <c r="E48" s="13">
        <f>SUM(F48:J48)</f>
        <v>361051</v>
      </c>
      <c r="F48" s="14">
        <f>'[1]sum-roro'!I10</f>
        <v>0</v>
      </c>
      <c r="G48" s="14">
        <f>'[1]sum-roro'!I69</f>
        <v>148292</v>
      </c>
      <c r="H48" s="14">
        <f>'[1]sum-roro'!I190</f>
        <v>166724</v>
      </c>
      <c r="I48" s="14">
        <f>'[1]sum-roro'!I330</f>
        <v>32831</v>
      </c>
      <c r="J48" s="14">
        <f>'[1]sum-roro'!I399</f>
        <v>13204</v>
      </c>
      <c r="K48" s="14">
        <f>SUM(L48:P48)</f>
        <v>382699</v>
      </c>
      <c r="L48" s="14">
        <f>'[1]sum-roro'!T10</f>
        <v>7</v>
      </c>
      <c r="M48" s="14">
        <f>'[1]sum-roro'!T69</f>
        <v>159333</v>
      </c>
      <c r="N48" s="14">
        <f>'[1]sum-roro'!T190</f>
        <v>174620</v>
      </c>
      <c r="O48" s="14">
        <f>'[1]sum-roro'!T330</f>
        <v>35895</v>
      </c>
      <c r="P48" s="14">
        <f>'[1]sum-roro'!T399</f>
        <v>12844</v>
      </c>
      <c r="Q48" s="14">
        <f>SUM(R48:V48)</f>
        <v>376110</v>
      </c>
      <c r="R48" s="14">
        <f>'[1]sum-roro'!AE10</f>
        <v>0</v>
      </c>
      <c r="S48" s="14">
        <f>'[1]sum-roro'!AE69</f>
        <v>148101</v>
      </c>
      <c r="T48" s="14">
        <f>'[1]sum-roro'!AE190</f>
        <v>178852</v>
      </c>
      <c r="U48" s="14">
        <f>'[1]sum-roro'!AE330</f>
        <v>34923</v>
      </c>
      <c r="V48" s="14">
        <f>'[1]sum-roro'!AE399</f>
        <v>14234</v>
      </c>
      <c r="W48" s="14">
        <f>SUM(X48:AB48)</f>
        <v>386083</v>
      </c>
      <c r="X48" s="14">
        <f>'[1]sum-roro'!AP10</f>
        <v>0</v>
      </c>
      <c r="Y48" s="14">
        <f>'[1]sum-roro'!AP69</f>
        <v>148057</v>
      </c>
      <c r="Z48" s="14">
        <f>'[1]sum-roro'!AP190</f>
        <v>189318</v>
      </c>
      <c r="AA48" s="14">
        <f>'[1]sum-roro'!AP330</f>
        <v>33685</v>
      </c>
      <c r="AB48" s="14">
        <f>'[1]sum-roro'!AP399</f>
        <v>15023</v>
      </c>
      <c r="AC48" s="14">
        <f>SUM(AD48:AH48)</f>
        <v>1505943</v>
      </c>
      <c r="AD48" s="14">
        <f t="shared" si="16"/>
        <v>7</v>
      </c>
      <c r="AE48" s="14">
        <f t="shared" si="16"/>
        <v>603783</v>
      </c>
      <c r="AF48" s="14">
        <f t="shared" si="16"/>
        <v>709514</v>
      </c>
      <c r="AG48" s="14">
        <f t="shared" si="16"/>
        <v>137334</v>
      </c>
      <c r="AH48" s="14">
        <f t="shared" si="16"/>
        <v>55305</v>
      </c>
    </row>
    <row r="49" spans="1:34" s="3" customFormat="1" x14ac:dyDescent="0.2">
      <c r="A49" s="12"/>
      <c r="E49" s="13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  <row r="50" spans="1:34" s="3" customFormat="1" x14ac:dyDescent="0.2">
      <c r="A50" s="12"/>
      <c r="B50" s="3" t="s">
        <v>20</v>
      </c>
      <c r="E50" s="13">
        <f t="shared" ref="E50:AH50" si="17">SUM(E51:E54)</f>
        <v>1392898</v>
      </c>
      <c r="F50" s="14">
        <f t="shared" si="17"/>
        <v>0</v>
      </c>
      <c r="G50" s="14">
        <f t="shared" si="17"/>
        <v>422236</v>
      </c>
      <c r="H50" s="14">
        <f t="shared" si="17"/>
        <v>575189</v>
      </c>
      <c r="I50" s="14">
        <f t="shared" si="17"/>
        <v>190985</v>
      </c>
      <c r="J50" s="14">
        <f t="shared" si="17"/>
        <v>204488</v>
      </c>
      <c r="K50" s="14">
        <f t="shared" si="17"/>
        <v>1513364</v>
      </c>
      <c r="L50" s="14">
        <f t="shared" si="17"/>
        <v>6</v>
      </c>
      <c r="M50" s="14">
        <f t="shared" si="17"/>
        <v>468195</v>
      </c>
      <c r="N50" s="14">
        <f t="shared" si="17"/>
        <v>628604</v>
      </c>
      <c r="O50" s="14">
        <f t="shared" si="17"/>
        <v>221048</v>
      </c>
      <c r="P50" s="14">
        <f t="shared" si="17"/>
        <v>195511</v>
      </c>
      <c r="Q50" s="14">
        <f t="shared" si="17"/>
        <v>1373371</v>
      </c>
      <c r="R50" s="14">
        <f t="shared" si="17"/>
        <v>0</v>
      </c>
      <c r="S50" s="14">
        <f t="shared" si="17"/>
        <v>406512</v>
      </c>
      <c r="T50" s="14">
        <f t="shared" si="17"/>
        <v>562374</v>
      </c>
      <c r="U50" s="14">
        <f t="shared" si="17"/>
        <v>205014</v>
      </c>
      <c r="V50" s="14">
        <f t="shared" si="17"/>
        <v>199471</v>
      </c>
      <c r="W50" s="14">
        <f t="shared" si="17"/>
        <v>1311746</v>
      </c>
      <c r="X50" s="14">
        <f t="shared" si="17"/>
        <v>0</v>
      </c>
      <c r="Y50" s="14">
        <f t="shared" si="17"/>
        <v>413596</v>
      </c>
      <c r="Z50" s="14">
        <f t="shared" si="17"/>
        <v>591310</v>
      </c>
      <c r="AA50" s="14">
        <f t="shared" si="17"/>
        <v>98171</v>
      </c>
      <c r="AB50" s="14">
        <f t="shared" si="17"/>
        <v>208669</v>
      </c>
      <c r="AC50" s="14">
        <f t="shared" si="17"/>
        <v>5591379</v>
      </c>
      <c r="AD50" s="14">
        <f t="shared" si="17"/>
        <v>6</v>
      </c>
      <c r="AE50" s="14">
        <f t="shared" si="17"/>
        <v>1710539</v>
      </c>
      <c r="AF50" s="14">
        <f t="shared" si="17"/>
        <v>2357477</v>
      </c>
      <c r="AG50" s="14">
        <f t="shared" si="17"/>
        <v>715218</v>
      </c>
      <c r="AH50" s="14">
        <f t="shared" si="17"/>
        <v>808139</v>
      </c>
    </row>
    <row r="51" spans="1:34" s="3" customFormat="1" x14ac:dyDescent="0.2">
      <c r="A51" s="12"/>
      <c r="C51" s="3" t="s">
        <v>29</v>
      </c>
      <c r="E51" s="13">
        <f>SUM(F51:J51)</f>
        <v>427158</v>
      </c>
      <c r="F51" s="14">
        <f>'[1]sum-roro'!K10</f>
        <v>0</v>
      </c>
      <c r="G51" s="14">
        <f>'[1]sum-roro'!K69</f>
        <v>72330</v>
      </c>
      <c r="H51" s="14">
        <f>'[1]sum-roro'!K190</f>
        <v>162510</v>
      </c>
      <c r="I51" s="14">
        <f>'[1]sum-roro'!K330</f>
        <v>65201</v>
      </c>
      <c r="J51" s="14">
        <f>'[1]sum-roro'!K399</f>
        <v>127117</v>
      </c>
      <c r="K51" s="14">
        <f>SUM(L51:P51)</f>
        <v>423387</v>
      </c>
      <c r="L51" s="14">
        <f>'[1]sum-roro'!V10</f>
        <v>0</v>
      </c>
      <c r="M51" s="14">
        <f>'[1]sum-roro'!V69</f>
        <v>78240</v>
      </c>
      <c r="N51" s="14">
        <f>'[1]sum-roro'!V190</f>
        <v>165915</v>
      </c>
      <c r="O51" s="14">
        <f>'[1]sum-roro'!V330</f>
        <v>72039</v>
      </c>
      <c r="P51" s="14">
        <f>'[1]sum-roro'!V399</f>
        <v>107193</v>
      </c>
      <c r="Q51" s="14">
        <f>SUM(R51:V51)</f>
        <v>355062</v>
      </c>
      <c r="R51" s="14">
        <f>'[1]sum-roro'!AG10</f>
        <v>0</v>
      </c>
      <c r="S51" s="14">
        <f>'[1]sum-roro'!AG69</f>
        <v>54746</v>
      </c>
      <c r="T51" s="14">
        <f>'[1]sum-roro'!AG190</f>
        <v>135340</v>
      </c>
      <c r="U51" s="14">
        <f>'[1]sum-roro'!AG330</f>
        <v>65349</v>
      </c>
      <c r="V51" s="14">
        <f>'[1]sum-roro'!AG399</f>
        <v>99627</v>
      </c>
      <c r="W51" s="14">
        <f>SUM(X51:AB51)</f>
        <v>343866</v>
      </c>
      <c r="X51" s="14">
        <f>'[1]sum-roro'!AR10</f>
        <v>0</v>
      </c>
      <c r="Y51" s="14">
        <f>'[1]sum-roro'!AR69</f>
        <v>64003</v>
      </c>
      <c r="Z51" s="14">
        <f>'[1]sum-roro'!AR190</f>
        <v>150989</v>
      </c>
      <c r="AA51" s="14">
        <f>'[1]sum-roro'!AR330</f>
        <v>21240</v>
      </c>
      <c r="AB51" s="14">
        <f>'[1]sum-roro'!AR399</f>
        <v>107634</v>
      </c>
      <c r="AC51" s="14">
        <f>SUM(AD51:AH51)</f>
        <v>1549473</v>
      </c>
      <c r="AD51" s="14">
        <f t="shared" ref="AD51:AH54" si="18">F51+L51+R51+X51</f>
        <v>0</v>
      </c>
      <c r="AE51" s="14">
        <f t="shared" si="18"/>
        <v>269319</v>
      </c>
      <c r="AF51" s="14">
        <f t="shared" si="18"/>
        <v>614754</v>
      </c>
      <c r="AG51" s="14">
        <f t="shared" si="18"/>
        <v>223829</v>
      </c>
      <c r="AH51" s="14">
        <f t="shared" si="18"/>
        <v>441571</v>
      </c>
    </row>
    <row r="52" spans="1:34" s="3" customFormat="1" x14ac:dyDescent="0.2">
      <c r="A52" s="12"/>
      <c r="C52" s="3" t="s">
        <v>30</v>
      </c>
      <c r="E52" s="13">
        <f>SUM(F52:J52)</f>
        <v>455325</v>
      </c>
      <c r="F52" s="14">
        <f>'[1]sum-roro'!L10</f>
        <v>0</v>
      </c>
      <c r="G52" s="14">
        <f>'[1]sum-roro'!L69</f>
        <v>143975</v>
      </c>
      <c r="H52" s="14">
        <f>'[1]sum-roro'!L190</f>
        <v>185660</v>
      </c>
      <c r="I52" s="14">
        <f>'[1]sum-roro'!L330</f>
        <v>72374</v>
      </c>
      <c r="J52" s="14">
        <f>'[1]sum-roro'!L399</f>
        <v>53316</v>
      </c>
      <c r="K52" s="14">
        <f>SUM(L52:P52)</f>
        <v>543500</v>
      </c>
      <c r="L52" s="14">
        <f>'[1]sum-roro'!W10</f>
        <v>0</v>
      </c>
      <c r="M52" s="14">
        <f>'[1]sum-roro'!W69</f>
        <v>163143</v>
      </c>
      <c r="N52" s="14">
        <f>'[1]sum-roro'!W190</f>
        <v>226252</v>
      </c>
      <c r="O52" s="14">
        <f>'[1]sum-roro'!W330</f>
        <v>90334</v>
      </c>
      <c r="P52" s="14">
        <f>'[1]sum-roro'!W399</f>
        <v>63771</v>
      </c>
      <c r="Q52" s="14">
        <f>SUM(R52:V52)</f>
        <v>483307</v>
      </c>
      <c r="R52" s="14">
        <f>'[1]sum-roro'!AH10</f>
        <v>0</v>
      </c>
      <c r="S52" s="14">
        <f>'[1]sum-roro'!AH69</f>
        <v>136059</v>
      </c>
      <c r="T52" s="14">
        <f>'[1]sum-roro'!AH190</f>
        <v>191019</v>
      </c>
      <c r="U52" s="14">
        <f>'[1]sum-roro'!AH330</f>
        <v>82511</v>
      </c>
      <c r="V52" s="14">
        <f>'[1]sum-roro'!AH399</f>
        <v>73718</v>
      </c>
      <c r="W52" s="14">
        <f>SUM(X52:AB52)</f>
        <v>430775</v>
      </c>
      <c r="X52" s="14">
        <f>'[1]sum-roro'!AS10</f>
        <v>0</v>
      </c>
      <c r="Y52" s="14">
        <f>'[1]sum-roro'!AS69</f>
        <v>132436</v>
      </c>
      <c r="Z52" s="14">
        <f>'[1]sum-roro'!AS190</f>
        <v>194305</v>
      </c>
      <c r="AA52" s="14">
        <f>'[1]sum-roro'!AS330</f>
        <v>32873</v>
      </c>
      <c r="AB52" s="14">
        <f>'[1]sum-roro'!AS399</f>
        <v>71161</v>
      </c>
      <c r="AC52" s="14">
        <f>SUM(AD52:AH52)</f>
        <v>1912907</v>
      </c>
      <c r="AD52" s="14">
        <f t="shared" si="18"/>
        <v>0</v>
      </c>
      <c r="AE52" s="14">
        <f t="shared" si="18"/>
        <v>575613</v>
      </c>
      <c r="AF52" s="14">
        <f t="shared" si="18"/>
        <v>797236</v>
      </c>
      <c r="AG52" s="14">
        <f t="shared" si="18"/>
        <v>278092</v>
      </c>
      <c r="AH52" s="14">
        <f t="shared" si="18"/>
        <v>261966</v>
      </c>
    </row>
    <row r="53" spans="1:34" s="3" customFormat="1" x14ac:dyDescent="0.2">
      <c r="A53" s="12"/>
      <c r="C53" s="3" t="s">
        <v>31</v>
      </c>
      <c r="E53" s="13">
        <f>SUM(F53:J53)</f>
        <v>143140</v>
      </c>
      <c r="F53" s="14">
        <f>'[1]sum-roro'!M10</f>
        <v>0</v>
      </c>
      <c r="G53" s="14">
        <f>'[1]sum-roro'!M69</f>
        <v>51912</v>
      </c>
      <c r="H53" s="14">
        <f>'[1]sum-roro'!M190</f>
        <v>57237</v>
      </c>
      <c r="I53" s="14">
        <f>'[1]sum-roro'!M330</f>
        <v>22068</v>
      </c>
      <c r="J53" s="14">
        <f>'[1]sum-roro'!M399</f>
        <v>11923</v>
      </c>
      <c r="K53" s="14">
        <f>SUM(L53:P53)</f>
        <v>160820</v>
      </c>
      <c r="L53" s="14">
        <f>'[1]sum-roro'!X10</f>
        <v>0</v>
      </c>
      <c r="M53" s="14">
        <f>'[1]sum-roro'!X69</f>
        <v>62193</v>
      </c>
      <c r="N53" s="14">
        <f>'[1]sum-roro'!X190</f>
        <v>61921</v>
      </c>
      <c r="O53" s="14">
        <f>'[1]sum-roro'!X330</f>
        <v>23966</v>
      </c>
      <c r="P53" s="14">
        <f>'[1]sum-roro'!X399</f>
        <v>12740</v>
      </c>
      <c r="Q53" s="14">
        <f>SUM(R53:V53)</f>
        <v>156478</v>
      </c>
      <c r="R53" s="14">
        <f>'[1]sum-roro'!AI10</f>
        <v>0</v>
      </c>
      <c r="S53" s="14">
        <f>'[1]sum-roro'!AI69</f>
        <v>62083</v>
      </c>
      <c r="T53" s="14">
        <f>'[1]sum-roro'!AI190</f>
        <v>57032</v>
      </c>
      <c r="U53" s="14">
        <f>'[1]sum-roro'!AI330</f>
        <v>23695</v>
      </c>
      <c r="V53" s="14">
        <f>'[1]sum-roro'!AI399</f>
        <v>13668</v>
      </c>
      <c r="W53" s="14">
        <f>SUM(X53:AB53)</f>
        <v>148133</v>
      </c>
      <c r="X53" s="14">
        <f>'[1]sum-roro'!AT10</f>
        <v>0</v>
      </c>
      <c r="Y53" s="14">
        <f>'[1]sum-roro'!AT69</f>
        <v>61199</v>
      </c>
      <c r="Z53" s="14">
        <f>'[1]sum-roro'!AT190</f>
        <v>58952</v>
      </c>
      <c r="AA53" s="14">
        <f>'[1]sum-roro'!AT330</f>
        <v>11879</v>
      </c>
      <c r="AB53" s="14">
        <f>'[1]sum-roro'!AT399</f>
        <v>16103</v>
      </c>
      <c r="AC53" s="14">
        <f>SUM(AD53:AH53)</f>
        <v>608571</v>
      </c>
      <c r="AD53" s="14">
        <f t="shared" si="18"/>
        <v>0</v>
      </c>
      <c r="AE53" s="14">
        <f t="shared" si="18"/>
        <v>237387</v>
      </c>
      <c r="AF53" s="14">
        <f t="shared" si="18"/>
        <v>235142</v>
      </c>
      <c r="AG53" s="14">
        <f t="shared" si="18"/>
        <v>81608</v>
      </c>
      <c r="AH53" s="14">
        <f t="shared" si="18"/>
        <v>54434</v>
      </c>
    </row>
    <row r="54" spans="1:34" s="3" customFormat="1" x14ac:dyDescent="0.2">
      <c r="A54" s="12"/>
      <c r="C54" s="3" t="s">
        <v>32</v>
      </c>
      <c r="E54" s="13">
        <f>SUM(F54:J54)</f>
        <v>367275</v>
      </c>
      <c r="F54" s="14">
        <f>'[1]sum-roro'!N10</f>
        <v>0</v>
      </c>
      <c r="G54" s="14">
        <f>'[1]sum-roro'!N69</f>
        <v>154019</v>
      </c>
      <c r="H54" s="14">
        <f>'[1]sum-roro'!N190</f>
        <v>169782</v>
      </c>
      <c r="I54" s="14">
        <f>'[1]sum-roro'!N330</f>
        <v>31342</v>
      </c>
      <c r="J54" s="14">
        <f>'[1]sum-roro'!N399</f>
        <v>12132</v>
      </c>
      <c r="K54" s="14">
        <f>SUM(L54:P54)</f>
        <v>385657</v>
      </c>
      <c r="L54" s="14">
        <f>'[1]sum-roro'!Y10</f>
        <v>6</v>
      </c>
      <c r="M54" s="14">
        <f>'[1]sum-roro'!Y69</f>
        <v>164619</v>
      </c>
      <c r="N54" s="14">
        <f>'[1]sum-roro'!Y190</f>
        <v>174516</v>
      </c>
      <c r="O54" s="14">
        <f>'[1]sum-roro'!Y330</f>
        <v>34709</v>
      </c>
      <c r="P54" s="14">
        <f>'[1]sum-roro'!Y399</f>
        <v>11807</v>
      </c>
      <c r="Q54" s="14">
        <f>SUM(R54:V54)</f>
        <v>378524</v>
      </c>
      <c r="R54" s="14">
        <f>'[1]sum-roro'!AJ10</f>
        <v>0</v>
      </c>
      <c r="S54" s="14">
        <f>'[1]sum-roro'!AJ69</f>
        <v>153624</v>
      </c>
      <c r="T54" s="14">
        <f>'[1]sum-roro'!AJ190</f>
        <v>178983</v>
      </c>
      <c r="U54" s="14">
        <f>'[1]sum-roro'!AJ330</f>
        <v>33459</v>
      </c>
      <c r="V54" s="14">
        <f>'[1]sum-roro'!AJ399</f>
        <v>12458</v>
      </c>
      <c r="W54" s="14">
        <f>SUM(X54:AB54)</f>
        <v>388972</v>
      </c>
      <c r="X54" s="14">
        <f>'[1]sum-roro'!AU10</f>
        <v>0</v>
      </c>
      <c r="Y54" s="14">
        <f>'[1]sum-roro'!AU69</f>
        <v>155958</v>
      </c>
      <c r="Z54" s="14">
        <f>'[1]sum-roro'!AU190</f>
        <v>187064</v>
      </c>
      <c r="AA54" s="14">
        <f>'[1]sum-roro'!AU330</f>
        <v>32179</v>
      </c>
      <c r="AB54" s="14">
        <f>'[1]sum-roro'!AU399</f>
        <v>13771</v>
      </c>
      <c r="AC54" s="14">
        <f>SUM(AD54:AH54)</f>
        <v>1520428</v>
      </c>
      <c r="AD54" s="14">
        <f t="shared" si="18"/>
        <v>6</v>
      </c>
      <c r="AE54" s="14">
        <f t="shared" si="18"/>
        <v>628220</v>
      </c>
      <c r="AF54" s="14">
        <f t="shared" si="18"/>
        <v>710345</v>
      </c>
      <c r="AG54" s="14">
        <f t="shared" si="18"/>
        <v>131689</v>
      </c>
      <c r="AH54" s="14">
        <f t="shared" si="18"/>
        <v>50168</v>
      </c>
    </row>
    <row r="55" spans="1:34" s="3" customFormat="1" x14ac:dyDescent="0.2">
      <c r="A55" s="16"/>
      <c r="B55" s="17"/>
      <c r="C55" s="17"/>
      <c r="D55" s="17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</row>
    <row r="56" spans="1:34" s="3" customFormat="1" x14ac:dyDescent="0.2"/>
    <row r="57" spans="1:34" s="19" customFormat="1" ht="11.25" x14ac:dyDescent="0.2">
      <c r="A57" s="19" t="s">
        <v>33</v>
      </c>
    </row>
    <row r="58" spans="1:34" s="19" customFormat="1" ht="11.25" x14ac:dyDescent="0.2">
      <c r="A58" s="19" t="s">
        <v>34</v>
      </c>
    </row>
    <row r="59" spans="1:34" s="19" customFormat="1" ht="11.25" x14ac:dyDescent="0.2">
      <c r="A59" s="19" t="s">
        <v>35</v>
      </c>
    </row>
    <row r="60" spans="1:34" s="19" customFormat="1" ht="11.25" x14ac:dyDescent="0.2">
      <c r="A60" s="19" t="s">
        <v>36</v>
      </c>
    </row>
    <row r="61" spans="1:34" s="19" customFormat="1" ht="11.25" x14ac:dyDescent="0.2">
      <c r="A61" s="19" t="s">
        <v>37</v>
      </c>
    </row>
    <row r="62" spans="1:34" s="3" customFormat="1" ht="15" customHeight="1" x14ac:dyDescent="0.2">
      <c r="A62" s="19"/>
    </row>
    <row r="63" spans="1:34" s="3" customFormat="1" ht="15" customHeight="1" x14ac:dyDescent="0.2">
      <c r="A63" s="19"/>
      <c r="J63" s="3" t="s">
        <v>38</v>
      </c>
    </row>
    <row r="64" spans="1:34" s="3" customFormat="1" ht="15" customHeight="1" x14ac:dyDescent="0.2"/>
    <row r="65" spans="6:6" s="3" customFormat="1" ht="15" customHeight="1" x14ac:dyDescent="0.2"/>
    <row r="66" spans="6:6" s="3" customFormat="1" ht="15" customHeight="1" x14ac:dyDescent="0.2">
      <c r="F66" s="20"/>
    </row>
    <row r="67" spans="6:6" s="3" customFormat="1" ht="15" customHeight="1" x14ac:dyDescent="0.2"/>
    <row r="68" spans="6:6" s="3" customFormat="1" ht="15" customHeight="1" x14ac:dyDescent="0.2"/>
    <row r="69" spans="6:6" s="3" customFormat="1" ht="15" customHeight="1" x14ac:dyDescent="0.2"/>
    <row r="70" spans="6:6" s="3" customFormat="1" ht="15" customHeight="1" x14ac:dyDescent="0.2"/>
    <row r="71" spans="6:6" s="3" customFormat="1" ht="15" customHeight="1" x14ac:dyDescent="0.2"/>
    <row r="72" spans="6:6" s="3" customFormat="1" ht="15" customHeight="1" x14ac:dyDescent="0.2"/>
    <row r="73" spans="6:6" s="3" customFormat="1" ht="15" customHeight="1" x14ac:dyDescent="0.2"/>
    <row r="74" spans="6:6" s="3" customFormat="1" ht="15" customHeight="1" x14ac:dyDescent="0.2"/>
    <row r="75" spans="6:6" s="3" customFormat="1" ht="15" customHeight="1" x14ac:dyDescent="0.2"/>
    <row r="76" spans="6:6" s="3" customFormat="1" ht="15" customHeight="1" x14ac:dyDescent="0.2"/>
    <row r="77" spans="6:6" s="3" customFormat="1" ht="15" customHeight="1" x14ac:dyDescent="0.2"/>
    <row r="78" spans="6:6" s="3" customFormat="1" ht="15" customHeight="1" x14ac:dyDescent="0.2"/>
    <row r="79" spans="6:6" s="3" customFormat="1" ht="15" customHeight="1" x14ac:dyDescent="0.2"/>
    <row r="80" spans="6:6" s="3" customFormat="1" ht="15" customHeight="1" x14ac:dyDescent="0.2"/>
    <row r="81" spans="3:3" s="3" customFormat="1" ht="15" customHeight="1" x14ac:dyDescent="0.2"/>
    <row r="82" spans="3:3" s="3" customFormat="1" ht="15" customHeight="1" x14ac:dyDescent="0.2"/>
    <row r="83" spans="3:3" s="3" customFormat="1" ht="15" customHeight="1" x14ac:dyDescent="0.2"/>
    <row r="84" spans="3:3" s="3" customFormat="1" ht="15" customHeight="1" x14ac:dyDescent="0.2"/>
    <row r="85" spans="3:3" s="3" customFormat="1" ht="15" customHeight="1" x14ac:dyDescent="0.2"/>
    <row r="86" spans="3:3" s="3" customFormat="1" ht="15" customHeight="1" x14ac:dyDescent="0.2"/>
    <row r="87" spans="3:3" s="3" customFormat="1" ht="15" customHeight="1" x14ac:dyDescent="0.2"/>
    <row r="88" spans="3:3" s="3" customFormat="1" ht="15" customHeight="1" x14ac:dyDescent="0.2"/>
    <row r="89" spans="3:3" s="3" customFormat="1" ht="15" customHeight="1" x14ac:dyDescent="0.2"/>
    <row r="90" spans="3:3" s="3" customFormat="1" ht="15" customHeight="1" x14ac:dyDescent="0.2"/>
    <row r="91" spans="3:3" s="3" customFormat="1" ht="15" customHeight="1" x14ac:dyDescent="0.2"/>
    <row r="92" spans="3:3" s="3" customFormat="1" ht="15" customHeight="1" x14ac:dyDescent="0.2"/>
    <row r="93" spans="3:3" s="3" customFormat="1" ht="15" customHeight="1" x14ac:dyDescent="0.2"/>
    <row r="94" spans="3:3" s="3" customFormat="1" ht="15" customHeight="1" x14ac:dyDescent="0.2"/>
    <row r="95" spans="3:3" s="3" customFormat="1" ht="15" customHeight="1" x14ac:dyDescent="0.2">
      <c r="C95" s="21"/>
    </row>
    <row r="96" spans="3:3" s="3" customFormat="1" ht="15" customHeight="1" x14ac:dyDescent="0.2"/>
    <row r="97" s="3" customFormat="1" ht="15" customHeight="1" x14ac:dyDescent="0.2"/>
    <row r="98" s="3" customFormat="1" ht="15" customHeight="1" x14ac:dyDescent="0.2"/>
    <row r="99" s="3" customFormat="1" ht="15" customHeight="1" x14ac:dyDescent="0.2"/>
    <row r="100" s="3" customFormat="1" ht="15" customHeight="1" x14ac:dyDescent="0.2"/>
    <row r="101" s="3" customFormat="1" ht="15" customHeight="1" x14ac:dyDescent="0.2"/>
    <row r="102" s="3" customFormat="1" ht="15" customHeight="1" x14ac:dyDescent="0.2"/>
    <row r="103" s="3" customFormat="1" ht="15" customHeight="1" x14ac:dyDescent="0.2"/>
    <row r="104" s="3" customFormat="1" ht="15" customHeight="1" x14ac:dyDescent="0.2"/>
    <row r="105" s="3" customFormat="1" ht="15" customHeight="1" x14ac:dyDescent="0.2"/>
    <row r="106" s="3" customFormat="1" ht="15" customHeight="1" x14ac:dyDescent="0.2"/>
    <row r="107" s="3" customFormat="1" ht="15" customHeight="1" x14ac:dyDescent="0.2"/>
    <row r="108" s="3" customFormat="1" ht="15" customHeight="1" x14ac:dyDescent="0.2"/>
    <row r="109" s="3" customFormat="1" ht="15" customHeight="1" x14ac:dyDescent="0.2"/>
    <row r="110" s="3" customFormat="1" ht="15" customHeight="1" x14ac:dyDescent="0.2"/>
    <row r="111" s="3" customFormat="1" ht="15" customHeight="1" x14ac:dyDescent="0.2"/>
    <row r="112" s="3" customFormat="1" ht="15" customHeight="1" x14ac:dyDescent="0.2"/>
    <row r="113" s="3" customFormat="1" ht="15" customHeight="1" x14ac:dyDescent="0.2"/>
    <row r="114" s="3" customFormat="1" ht="15" customHeight="1" x14ac:dyDescent="0.2"/>
    <row r="115" s="3" customFormat="1" ht="15" customHeight="1" x14ac:dyDescent="0.2"/>
    <row r="116" s="3" customFormat="1" ht="15" customHeight="1" x14ac:dyDescent="0.2"/>
    <row r="117" s="3" customFormat="1" ht="15" customHeight="1" x14ac:dyDescent="0.2"/>
    <row r="118" s="3" customFormat="1" ht="15" customHeight="1" x14ac:dyDescent="0.2"/>
    <row r="119" s="3" customFormat="1" ht="15" customHeight="1" x14ac:dyDescent="0.2"/>
    <row r="120" s="3" customFormat="1" ht="15" customHeight="1" x14ac:dyDescent="0.2"/>
    <row r="121" s="3" customFormat="1" ht="15" customHeight="1" x14ac:dyDescent="0.2"/>
    <row r="122" s="3" customFormat="1" ht="15" customHeight="1" x14ac:dyDescent="0.2"/>
    <row r="123" s="3" customFormat="1" ht="15" customHeight="1" x14ac:dyDescent="0.2"/>
    <row r="124" s="3" customFormat="1" ht="15" customHeight="1" x14ac:dyDescent="0.2"/>
    <row r="125" s="3" customFormat="1" ht="15" customHeight="1" x14ac:dyDescent="0.2"/>
    <row r="126" s="3" customFormat="1" ht="15" customHeight="1" x14ac:dyDescent="0.2"/>
    <row r="127" s="3" customFormat="1" ht="15" customHeight="1" x14ac:dyDescent="0.2"/>
    <row r="128" s="3" customFormat="1" ht="15" customHeight="1" x14ac:dyDescent="0.2"/>
    <row r="129" s="3" customFormat="1" ht="15" customHeight="1" x14ac:dyDescent="0.2"/>
    <row r="130" s="3" customFormat="1" ht="15" customHeight="1" x14ac:dyDescent="0.2"/>
    <row r="131" s="3" customFormat="1" ht="15" customHeight="1" x14ac:dyDescent="0.2"/>
    <row r="132" s="3" customFormat="1" ht="15" customHeight="1" x14ac:dyDescent="0.2"/>
    <row r="133" s="3" customFormat="1" ht="15" customHeight="1" x14ac:dyDescent="0.2"/>
    <row r="134" s="3" customFormat="1" ht="15" customHeight="1" x14ac:dyDescent="0.2"/>
    <row r="135" s="3" customFormat="1" ht="15" customHeight="1" x14ac:dyDescent="0.2"/>
    <row r="136" s="3" customFormat="1" ht="15" customHeight="1" x14ac:dyDescent="0.2"/>
    <row r="137" s="3" customFormat="1" ht="15" customHeight="1" x14ac:dyDescent="0.2"/>
    <row r="138" s="3" customFormat="1" ht="15" customHeight="1" x14ac:dyDescent="0.2"/>
    <row r="139" s="3" customFormat="1" ht="15" customHeight="1" x14ac:dyDescent="0.2"/>
    <row r="140" s="3" customFormat="1" ht="15" customHeight="1" x14ac:dyDescent="0.2"/>
    <row r="141" s="3" customFormat="1" ht="15" customHeight="1" x14ac:dyDescent="0.2"/>
    <row r="142" s="3" customFormat="1" ht="15" customHeight="1" x14ac:dyDescent="0.2"/>
    <row r="143" s="3" customFormat="1" ht="15" customHeight="1" x14ac:dyDescent="0.2"/>
    <row r="144" s="3" customFormat="1" ht="15" customHeight="1" x14ac:dyDescent="0.2"/>
    <row r="145" s="3" customFormat="1" ht="15" customHeight="1" x14ac:dyDescent="0.2"/>
    <row r="146" s="3" customFormat="1" ht="15" customHeight="1" x14ac:dyDescent="0.2"/>
    <row r="147" s="3" customFormat="1" ht="15" customHeight="1" x14ac:dyDescent="0.2"/>
    <row r="148" s="3" customFormat="1" ht="15" customHeight="1" x14ac:dyDescent="0.2"/>
    <row r="149" s="3" customFormat="1" ht="15" customHeight="1" x14ac:dyDescent="0.2"/>
    <row r="150" s="3" customFormat="1" ht="15" customHeight="1" x14ac:dyDescent="0.2"/>
    <row r="151" s="3" customFormat="1" ht="15" customHeight="1" x14ac:dyDescent="0.2"/>
    <row r="152" s="3" customFormat="1" ht="15" customHeight="1" x14ac:dyDescent="0.2"/>
    <row r="153" s="3" customFormat="1" ht="15" customHeight="1" x14ac:dyDescent="0.2"/>
    <row r="154" s="3" customFormat="1" ht="15" customHeight="1" x14ac:dyDescent="0.2"/>
    <row r="155" s="3" customFormat="1" ht="15" customHeight="1" x14ac:dyDescent="0.2"/>
    <row r="156" s="3" customFormat="1" ht="15" customHeight="1" x14ac:dyDescent="0.2"/>
    <row r="157" s="3" customFormat="1" ht="15" customHeight="1" x14ac:dyDescent="0.2"/>
    <row r="158" s="3" customFormat="1" ht="15" customHeight="1" x14ac:dyDescent="0.2"/>
    <row r="159" s="3" customFormat="1" ht="15" customHeight="1" x14ac:dyDescent="0.2"/>
    <row r="160" s="3" customFormat="1" ht="15" customHeight="1" x14ac:dyDescent="0.2"/>
    <row r="161" s="3" customFormat="1" ht="15" customHeight="1" x14ac:dyDescent="0.2"/>
    <row r="162" s="3" customFormat="1" ht="15" customHeight="1" x14ac:dyDescent="0.2"/>
    <row r="163" s="3" customFormat="1" ht="15" customHeight="1" x14ac:dyDescent="0.2"/>
    <row r="164" s="3" customFormat="1" ht="15" customHeight="1" x14ac:dyDescent="0.2"/>
    <row r="165" s="3" customFormat="1" ht="15" customHeight="1" x14ac:dyDescent="0.2"/>
    <row r="166" s="3" customFormat="1" ht="15" customHeight="1" x14ac:dyDescent="0.2"/>
    <row r="167" s="3" customFormat="1" ht="15" customHeight="1" x14ac:dyDescent="0.2"/>
    <row r="168" s="3" customFormat="1" ht="15" customHeight="1" x14ac:dyDescent="0.2"/>
    <row r="169" s="3" customFormat="1" ht="15" customHeight="1" x14ac:dyDescent="0.2"/>
    <row r="170" s="3" customFormat="1" ht="15" customHeight="1" x14ac:dyDescent="0.2"/>
    <row r="171" s="3" customFormat="1" ht="15" customHeight="1" x14ac:dyDescent="0.2"/>
    <row r="172" s="3" customFormat="1" ht="15" customHeight="1" x14ac:dyDescent="0.2"/>
    <row r="173" s="3" customFormat="1" ht="15" customHeight="1" x14ac:dyDescent="0.2"/>
    <row r="174" s="3" customFormat="1" ht="15" customHeight="1" x14ac:dyDescent="0.2"/>
    <row r="175" s="3" customFormat="1" ht="15" customHeight="1" x14ac:dyDescent="0.2"/>
    <row r="176" s="3" customFormat="1" ht="15" customHeight="1" x14ac:dyDescent="0.2"/>
    <row r="177" s="3" customFormat="1" ht="15" customHeight="1" x14ac:dyDescent="0.2"/>
    <row r="178" s="3" customFormat="1" ht="15" customHeight="1" x14ac:dyDescent="0.2"/>
    <row r="179" s="3" customFormat="1" ht="15" customHeight="1" x14ac:dyDescent="0.2"/>
    <row r="180" s="3" customFormat="1" ht="15" customHeight="1" x14ac:dyDescent="0.2"/>
    <row r="181" s="3" customFormat="1" ht="15" customHeight="1" x14ac:dyDescent="0.2"/>
    <row r="182" s="3" customFormat="1" ht="15" customHeight="1" x14ac:dyDescent="0.2"/>
    <row r="183" s="3" customFormat="1" ht="15" customHeight="1" x14ac:dyDescent="0.2"/>
    <row r="184" s="3" customFormat="1" ht="15" customHeight="1" x14ac:dyDescent="0.2"/>
    <row r="185" s="3" customFormat="1" ht="15" customHeight="1" x14ac:dyDescent="0.2"/>
    <row r="186" s="3" customFormat="1" ht="15" customHeight="1" x14ac:dyDescent="0.2"/>
    <row r="187" s="3" customFormat="1" ht="15" customHeight="1" x14ac:dyDescent="0.2"/>
    <row r="188" s="3" customFormat="1" ht="15" customHeight="1" x14ac:dyDescent="0.2"/>
    <row r="189" s="3" customFormat="1" ht="15" customHeight="1" x14ac:dyDescent="0.2"/>
    <row r="190" s="3" customFormat="1" ht="15" customHeight="1" x14ac:dyDescent="0.2"/>
    <row r="191" s="3" customFormat="1" ht="15" customHeight="1" x14ac:dyDescent="0.2"/>
    <row r="192" s="3" customFormat="1" ht="15" customHeight="1" x14ac:dyDescent="0.2"/>
    <row r="193" s="3" customFormat="1" ht="15" customHeight="1" x14ac:dyDescent="0.2"/>
    <row r="194" s="3" customFormat="1" ht="15" customHeight="1" x14ac:dyDescent="0.2"/>
    <row r="195" s="3" customFormat="1" ht="15" customHeight="1" x14ac:dyDescent="0.2"/>
    <row r="196" s="3" customFormat="1" ht="15" customHeight="1" x14ac:dyDescent="0.2"/>
    <row r="197" s="3" customFormat="1" ht="15" customHeight="1" x14ac:dyDescent="0.2"/>
    <row r="198" s="3" customFormat="1" ht="15" customHeight="1" x14ac:dyDescent="0.2"/>
    <row r="199" s="3" customFormat="1" ht="15" customHeight="1" x14ac:dyDescent="0.2"/>
    <row r="200" s="3" customFormat="1" ht="15" customHeight="1" x14ac:dyDescent="0.2"/>
    <row r="201" s="3" customFormat="1" ht="15" customHeight="1" x14ac:dyDescent="0.2"/>
    <row r="202" s="3" customFormat="1" ht="15" customHeight="1" x14ac:dyDescent="0.2"/>
    <row r="203" s="3" customFormat="1" ht="15" customHeight="1" x14ac:dyDescent="0.2"/>
    <row r="204" s="3" customFormat="1" ht="15" customHeight="1" x14ac:dyDescent="0.2"/>
    <row r="205" s="3" customFormat="1" ht="15" customHeight="1" x14ac:dyDescent="0.2"/>
    <row r="206" s="3" customFormat="1" ht="15" customHeight="1" x14ac:dyDescent="0.2"/>
    <row r="207" s="3" customFormat="1" ht="15" customHeight="1" x14ac:dyDescent="0.2"/>
    <row r="208" s="3" customFormat="1" ht="15" customHeight="1" x14ac:dyDescent="0.2"/>
    <row r="209" s="3" customFormat="1" ht="15" customHeight="1" x14ac:dyDescent="0.2"/>
    <row r="210" s="3" customFormat="1" ht="15" customHeight="1" x14ac:dyDescent="0.2"/>
    <row r="211" s="3" customFormat="1" ht="15" customHeight="1" x14ac:dyDescent="0.2"/>
    <row r="212" s="3" customFormat="1" ht="15" customHeight="1" x14ac:dyDescent="0.2"/>
    <row r="213" s="3" customFormat="1" ht="15" customHeight="1" x14ac:dyDescent="0.2"/>
    <row r="214" s="3" customFormat="1" ht="15" customHeight="1" x14ac:dyDescent="0.2"/>
    <row r="215" s="3" customFormat="1" ht="15" customHeight="1" x14ac:dyDescent="0.2"/>
    <row r="216" s="3" customFormat="1" ht="15" customHeight="1" x14ac:dyDescent="0.2"/>
    <row r="217" s="3" customFormat="1" ht="15" customHeight="1" x14ac:dyDescent="0.2"/>
    <row r="218" s="3" customFormat="1" ht="15" customHeight="1" x14ac:dyDescent="0.2"/>
    <row r="219" s="3" customFormat="1" ht="15" customHeight="1" x14ac:dyDescent="0.2"/>
    <row r="220" s="3" customFormat="1" ht="15" customHeight="1" x14ac:dyDescent="0.2"/>
    <row r="221" s="3" customFormat="1" ht="15" customHeight="1" x14ac:dyDescent="0.2"/>
    <row r="222" s="3" customFormat="1" ht="15" customHeight="1" x14ac:dyDescent="0.2"/>
    <row r="223" s="3" customFormat="1" ht="15" customHeight="1" x14ac:dyDescent="0.2"/>
    <row r="224" s="3" customFormat="1" ht="15" customHeight="1" x14ac:dyDescent="0.2"/>
    <row r="225" s="3" customFormat="1" ht="15" customHeight="1" x14ac:dyDescent="0.2"/>
    <row r="226" s="3" customFormat="1" ht="15" customHeight="1" x14ac:dyDescent="0.2"/>
    <row r="227" s="3" customFormat="1" ht="15" customHeight="1" x14ac:dyDescent="0.2"/>
    <row r="228" s="3" customFormat="1" ht="15" customHeight="1" x14ac:dyDescent="0.2"/>
    <row r="229" s="3" customFormat="1" ht="15" customHeight="1" x14ac:dyDescent="0.2"/>
    <row r="230" s="3" customFormat="1" ht="15" customHeight="1" x14ac:dyDescent="0.2"/>
    <row r="231" s="3" customFormat="1" ht="15" customHeight="1" x14ac:dyDescent="0.2"/>
    <row r="232" s="3" customFormat="1" ht="15" customHeight="1" x14ac:dyDescent="0.2"/>
    <row r="233" s="3" customFormat="1" ht="15" customHeight="1" x14ac:dyDescent="0.2"/>
    <row r="234" s="3" customFormat="1" ht="15" customHeight="1" x14ac:dyDescent="0.2"/>
    <row r="235" s="3" customFormat="1" ht="15" customHeight="1" x14ac:dyDescent="0.2"/>
    <row r="236" s="3" customFormat="1" ht="15" customHeight="1" x14ac:dyDescent="0.2"/>
    <row r="237" s="3" customFormat="1" ht="15" customHeight="1" x14ac:dyDescent="0.2"/>
    <row r="238" s="3" customFormat="1" ht="15" customHeight="1" x14ac:dyDescent="0.2"/>
    <row r="239" s="3" customFormat="1" ht="15" customHeight="1" x14ac:dyDescent="0.2"/>
    <row r="240" s="3" customFormat="1" ht="15" customHeight="1" x14ac:dyDescent="0.2"/>
    <row r="241" s="3" customFormat="1" ht="15" customHeight="1" x14ac:dyDescent="0.2"/>
    <row r="242" s="3" customFormat="1" ht="15" customHeight="1" x14ac:dyDescent="0.2"/>
    <row r="243" s="3" customFormat="1" ht="15" customHeight="1" x14ac:dyDescent="0.2"/>
    <row r="244" s="3" customFormat="1" ht="15" customHeight="1" x14ac:dyDescent="0.2"/>
    <row r="245" s="3" customFormat="1" ht="15" customHeight="1" x14ac:dyDescent="0.2"/>
    <row r="246" s="3" customFormat="1" ht="15" customHeight="1" x14ac:dyDescent="0.2"/>
    <row r="247" s="3" customFormat="1" ht="15" customHeight="1" x14ac:dyDescent="0.2"/>
    <row r="248" s="3" customFormat="1" ht="15" customHeight="1" x14ac:dyDescent="0.2"/>
    <row r="249" s="3" customFormat="1" ht="15" customHeight="1" x14ac:dyDescent="0.2"/>
    <row r="250" s="3" customFormat="1" ht="15" customHeight="1" x14ac:dyDescent="0.2"/>
    <row r="251" s="3" customFormat="1" ht="15" customHeight="1" x14ac:dyDescent="0.2"/>
    <row r="252" s="3" customFormat="1" ht="15" customHeight="1" x14ac:dyDescent="0.2"/>
    <row r="253" s="3" customFormat="1" ht="15" customHeight="1" x14ac:dyDescent="0.2"/>
    <row r="254" s="3" customFormat="1" ht="15" customHeight="1" x14ac:dyDescent="0.2"/>
    <row r="255" s="3" customFormat="1" ht="15" customHeight="1" x14ac:dyDescent="0.2"/>
    <row r="256" s="3" customFormat="1" ht="15" customHeight="1" x14ac:dyDescent="0.2"/>
    <row r="257" spans="3:3" s="3" customFormat="1" ht="15" customHeight="1" x14ac:dyDescent="0.2"/>
    <row r="258" spans="3:3" s="3" customFormat="1" ht="15" customHeight="1" x14ac:dyDescent="0.2"/>
    <row r="259" spans="3:3" s="3" customFormat="1" ht="15" customHeight="1" x14ac:dyDescent="0.2"/>
    <row r="260" spans="3:3" s="3" customFormat="1" ht="15" customHeight="1" x14ac:dyDescent="0.2"/>
    <row r="261" spans="3:3" s="3" customFormat="1" ht="15" customHeight="1" x14ac:dyDescent="0.2"/>
    <row r="262" spans="3:3" s="3" customFormat="1" ht="15" customHeight="1" x14ac:dyDescent="0.2"/>
    <row r="263" spans="3:3" s="3" customFormat="1" ht="15" customHeight="1" x14ac:dyDescent="0.2"/>
    <row r="264" spans="3:3" s="3" customFormat="1" ht="15" customHeight="1" x14ac:dyDescent="0.2"/>
    <row r="265" spans="3:3" s="3" customFormat="1" ht="15" customHeight="1" x14ac:dyDescent="0.2"/>
    <row r="266" spans="3:3" s="3" customFormat="1" ht="15" customHeight="1" x14ac:dyDescent="0.2"/>
    <row r="267" spans="3:3" s="3" customFormat="1" ht="15" customHeight="1" x14ac:dyDescent="0.2"/>
    <row r="268" spans="3:3" s="3" customFormat="1" ht="15" customHeight="1" x14ac:dyDescent="0.2"/>
    <row r="269" spans="3:3" s="3" customFormat="1" ht="15" customHeight="1" x14ac:dyDescent="0.2">
      <c r="C269" s="21"/>
    </row>
    <row r="270" spans="3:3" s="3" customFormat="1" ht="15" customHeight="1" x14ac:dyDescent="0.2"/>
    <row r="271" spans="3:3" s="3" customFormat="1" ht="15" customHeight="1" x14ac:dyDescent="0.2"/>
    <row r="272" spans="3:3" s="3" customFormat="1" ht="15" customHeight="1" x14ac:dyDescent="0.2"/>
    <row r="273" s="3" customFormat="1" ht="15" customHeight="1" x14ac:dyDescent="0.2"/>
    <row r="274" s="3" customFormat="1" ht="15" customHeight="1" x14ac:dyDescent="0.2"/>
    <row r="275" s="3" customFormat="1" ht="15" customHeight="1" x14ac:dyDescent="0.2"/>
    <row r="276" s="3" customFormat="1" ht="15" customHeight="1" x14ac:dyDescent="0.2"/>
    <row r="277" s="3" customFormat="1" ht="15" customHeight="1" x14ac:dyDescent="0.2"/>
    <row r="278" s="3" customFormat="1" ht="15" customHeight="1" x14ac:dyDescent="0.2"/>
    <row r="279" s="3" customFormat="1" ht="15" customHeight="1" x14ac:dyDescent="0.2"/>
    <row r="280" s="3" customFormat="1" ht="15" customHeight="1" x14ac:dyDescent="0.2"/>
    <row r="281" s="3" customFormat="1" ht="15" customHeight="1" x14ac:dyDescent="0.2"/>
    <row r="282" s="3" customFormat="1" ht="15" customHeight="1" x14ac:dyDescent="0.2"/>
    <row r="283" s="3" customFormat="1" ht="15" customHeight="1" x14ac:dyDescent="0.2"/>
    <row r="284" s="3" customFormat="1" ht="15" customHeight="1" x14ac:dyDescent="0.2"/>
    <row r="285" s="3" customFormat="1" ht="15" customHeight="1" x14ac:dyDescent="0.2"/>
    <row r="286" s="3" customFormat="1" ht="15" customHeight="1" x14ac:dyDescent="0.2"/>
    <row r="287" s="3" customFormat="1" ht="15" customHeight="1" x14ac:dyDescent="0.2"/>
    <row r="288" s="3" customFormat="1" ht="15" customHeight="1" x14ac:dyDescent="0.2"/>
    <row r="289" s="3" customFormat="1" ht="15" customHeight="1" x14ac:dyDescent="0.2"/>
    <row r="290" s="3" customFormat="1" ht="15" customHeight="1" x14ac:dyDescent="0.2"/>
    <row r="291" s="3" customFormat="1" ht="15" customHeight="1" x14ac:dyDescent="0.2"/>
    <row r="292" s="3" customFormat="1" ht="15" customHeight="1" x14ac:dyDescent="0.2"/>
    <row r="293" s="3" customFormat="1" ht="15" customHeight="1" x14ac:dyDescent="0.2"/>
    <row r="294" s="3" customFormat="1" ht="15" customHeight="1" x14ac:dyDescent="0.2"/>
    <row r="295" s="3" customFormat="1" ht="15" customHeight="1" x14ac:dyDescent="0.2"/>
    <row r="296" s="3" customFormat="1" ht="15" customHeight="1" x14ac:dyDescent="0.2"/>
    <row r="297" s="3" customFormat="1" ht="15" customHeight="1" x14ac:dyDescent="0.2"/>
    <row r="298" s="3" customFormat="1" ht="15" customHeight="1" x14ac:dyDescent="0.2"/>
    <row r="299" s="3" customFormat="1" ht="15" customHeight="1" x14ac:dyDescent="0.2"/>
    <row r="300" s="3" customFormat="1" ht="15" customHeight="1" x14ac:dyDescent="0.2"/>
    <row r="301" s="3" customFormat="1" ht="15" customHeight="1" x14ac:dyDescent="0.2"/>
    <row r="302" s="3" customFormat="1" ht="15" customHeight="1" x14ac:dyDescent="0.2"/>
    <row r="303" s="3" customFormat="1" ht="15" customHeight="1" x14ac:dyDescent="0.2"/>
    <row r="304" s="3" customFormat="1" ht="15" customHeight="1" x14ac:dyDescent="0.2"/>
    <row r="305" spans="3:3" s="3" customFormat="1" ht="15" customHeight="1" x14ac:dyDescent="0.2"/>
    <row r="306" spans="3:3" s="3" customFormat="1" ht="15" customHeight="1" x14ac:dyDescent="0.2"/>
    <row r="307" spans="3:3" s="3" customFormat="1" ht="15" customHeight="1" x14ac:dyDescent="0.2"/>
    <row r="308" spans="3:3" s="3" customFormat="1" ht="15" customHeight="1" x14ac:dyDescent="0.2"/>
    <row r="309" spans="3:3" s="3" customFormat="1" ht="15" customHeight="1" x14ac:dyDescent="0.2"/>
    <row r="310" spans="3:3" s="3" customFormat="1" ht="15" customHeight="1" x14ac:dyDescent="0.2"/>
    <row r="311" spans="3:3" s="3" customFormat="1" ht="15" customHeight="1" x14ac:dyDescent="0.2"/>
    <row r="312" spans="3:3" s="3" customFormat="1" ht="15" customHeight="1" x14ac:dyDescent="0.2"/>
    <row r="313" spans="3:3" s="3" customFormat="1" ht="15" customHeight="1" x14ac:dyDescent="0.2"/>
    <row r="314" spans="3:3" s="3" customFormat="1" ht="15" customHeight="1" x14ac:dyDescent="0.2"/>
    <row r="315" spans="3:3" s="3" customFormat="1" ht="15" customHeight="1" x14ac:dyDescent="0.2">
      <c r="C315" s="21"/>
    </row>
    <row r="316" spans="3:3" s="3" customFormat="1" ht="15" customHeight="1" x14ac:dyDescent="0.2"/>
    <row r="317" spans="3:3" s="3" customFormat="1" ht="15" customHeight="1" x14ac:dyDescent="0.2"/>
    <row r="318" spans="3:3" s="3" customFormat="1" ht="15" customHeight="1" x14ac:dyDescent="0.2"/>
    <row r="319" spans="3:3" s="3" customFormat="1" ht="15" customHeight="1" x14ac:dyDescent="0.2"/>
    <row r="320" spans="3:3" s="3" customFormat="1" ht="15" customHeight="1" x14ac:dyDescent="0.2"/>
    <row r="321" s="3" customFormat="1" ht="15" customHeight="1" x14ac:dyDescent="0.2"/>
    <row r="322" s="3" customFormat="1" ht="15" customHeight="1" x14ac:dyDescent="0.2"/>
    <row r="323" s="3" customFormat="1" ht="15" customHeight="1" x14ac:dyDescent="0.2"/>
    <row r="324" s="3" customFormat="1" ht="15" customHeight="1" x14ac:dyDescent="0.2"/>
    <row r="325" s="3" customFormat="1" ht="15" customHeight="1" x14ac:dyDescent="0.2"/>
    <row r="326" s="3" customFormat="1" ht="15" customHeight="1" x14ac:dyDescent="0.2"/>
    <row r="327" s="3" customFormat="1" ht="15" customHeight="1" x14ac:dyDescent="0.2"/>
    <row r="328" s="3" customFormat="1" ht="15" customHeight="1" x14ac:dyDescent="0.2"/>
    <row r="329" s="3" customFormat="1" ht="15" customHeight="1" x14ac:dyDescent="0.2"/>
    <row r="330" s="3" customFormat="1" ht="15" customHeight="1" x14ac:dyDescent="0.2"/>
    <row r="331" s="3" customFormat="1" ht="15" customHeight="1" x14ac:dyDescent="0.2"/>
    <row r="332" s="3" customFormat="1" ht="15" customHeight="1" x14ac:dyDescent="0.2"/>
    <row r="333" s="3" customFormat="1" ht="15" customHeight="1" x14ac:dyDescent="0.2"/>
    <row r="334" s="3" customFormat="1" ht="15" customHeight="1" x14ac:dyDescent="0.2"/>
    <row r="335" s="3" customFormat="1" ht="15" customHeight="1" x14ac:dyDescent="0.2"/>
    <row r="336" s="3" customFormat="1" ht="15" customHeight="1" x14ac:dyDescent="0.2"/>
    <row r="337" s="3" customFormat="1" ht="15" customHeight="1" x14ac:dyDescent="0.2"/>
    <row r="338" s="3" customFormat="1" ht="15" customHeight="1" x14ac:dyDescent="0.2"/>
    <row r="339" s="3" customFormat="1" ht="15" customHeight="1" x14ac:dyDescent="0.2"/>
    <row r="340" s="3" customFormat="1" ht="15" customHeight="1" x14ac:dyDescent="0.2"/>
    <row r="341" s="3" customFormat="1" ht="15" customHeight="1" x14ac:dyDescent="0.2"/>
    <row r="342" s="3" customFormat="1" ht="15" customHeight="1" x14ac:dyDescent="0.2"/>
    <row r="343" s="3" customFormat="1" ht="15" customHeight="1" x14ac:dyDescent="0.2"/>
    <row r="344" s="3" customFormat="1" ht="15" customHeight="1" x14ac:dyDescent="0.2"/>
    <row r="345" s="3" customFormat="1" ht="15" customHeight="1" x14ac:dyDescent="0.2"/>
    <row r="346" s="3" customFormat="1" ht="15" customHeight="1" x14ac:dyDescent="0.2"/>
    <row r="347" s="3" customFormat="1" ht="15" customHeight="1" x14ac:dyDescent="0.2"/>
    <row r="348" s="3" customFormat="1" ht="15" customHeight="1" x14ac:dyDescent="0.2"/>
    <row r="349" s="3" customFormat="1" ht="15" customHeight="1" x14ac:dyDescent="0.2"/>
    <row r="350" s="3" customFormat="1" ht="15" customHeight="1" x14ac:dyDescent="0.2"/>
    <row r="351" s="3" customFormat="1" ht="15" customHeight="1" x14ac:dyDescent="0.2"/>
    <row r="352" s="3" customFormat="1" ht="15" customHeight="1" x14ac:dyDescent="0.2"/>
    <row r="353" s="3" customFormat="1" ht="15" customHeight="1" x14ac:dyDescent="0.2"/>
    <row r="354" s="3" customFormat="1" ht="15" customHeight="1" x14ac:dyDescent="0.2"/>
    <row r="355" s="3" customFormat="1" ht="15" customHeight="1" x14ac:dyDescent="0.2"/>
    <row r="356" s="3" customFormat="1" ht="15" customHeight="1" x14ac:dyDescent="0.2"/>
    <row r="357" s="3" customFormat="1" ht="15" customHeight="1" x14ac:dyDescent="0.2"/>
    <row r="358" s="3" customFormat="1" ht="15" customHeight="1" x14ac:dyDescent="0.2"/>
    <row r="359" s="3" customFormat="1" ht="15" customHeight="1" x14ac:dyDescent="0.2"/>
    <row r="360" s="3" customFormat="1" ht="15" customHeight="1" x14ac:dyDescent="0.2"/>
    <row r="361" s="3" customFormat="1" ht="15" customHeight="1" x14ac:dyDescent="0.2"/>
    <row r="362" s="3" customFormat="1" ht="15" customHeight="1" x14ac:dyDescent="0.2"/>
    <row r="363" s="3" customFormat="1" ht="15" customHeight="1" x14ac:dyDescent="0.2"/>
    <row r="364" s="3" customFormat="1" ht="15" customHeight="1" x14ac:dyDescent="0.2"/>
    <row r="365" s="3" customFormat="1" ht="15" customHeight="1" x14ac:dyDescent="0.2"/>
    <row r="366" s="3" customFormat="1" ht="15" customHeight="1" x14ac:dyDescent="0.2"/>
    <row r="367" s="3" customFormat="1" ht="15" customHeight="1" x14ac:dyDescent="0.2"/>
    <row r="368" s="3" customFormat="1" ht="15" customHeight="1" x14ac:dyDescent="0.2"/>
    <row r="369" spans="3:3" s="3" customFormat="1" ht="15" customHeight="1" x14ac:dyDescent="0.2"/>
    <row r="370" spans="3:3" s="3" customFormat="1" ht="15" customHeight="1" x14ac:dyDescent="0.2"/>
    <row r="371" spans="3:3" s="3" customFormat="1" ht="15" customHeight="1" x14ac:dyDescent="0.2"/>
    <row r="372" spans="3:3" s="3" customFormat="1" ht="15" customHeight="1" x14ac:dyDescent="0.2"/>
    <row r="373" spans="3:3" s="3" customFormat="1" ht="15" customHeight="1" x14ac:dyDescent="0.2"/>
    <row r="374" spans="3:3" s="3" customFormat="1" ht="15" customHeight="1" x14ac:dyDescent="0.2"/>
    <row r="375" spans="3:3" s="3" customFormat="1" ht="15" customHeight="1" x14ac:dyDescent="0.2"/>
    <row r="376" spans="3:3" s="3" customFormat="1" ht="15" customHeight="1" x14ac:dyDescent="0.2"/>
    <row r="377" spans="3:3" s="3" customFormat="1" ht="15" customHeight="1" x14ac:dyDescent="0.2"/>
    <row r="378" spans="3:3" s="3" customFormat="1" ht="15" customHeight="1" x14ac:dyDescent="0.2"/>
    <row r="379" spans="3:3" s="3" customFormat="1" ht="15" customHeight="1" x14ac:dyDescent="0.2"/>
    <row r="380" spans="3:3" s="3" customFormat="1" ht="15" customHeight="1" x14ac:dyDescent="0.2"/>
    <row r="381" spans="3:3" s="3" customFormat="1" ht="15" customHeight="1" x14ac:dyDescent="0.2"/>
    <row r="382" spans="3:3" s="3" customFormat="1" ht="15" customHeight="1" x14ac:dyDescent="0.2"/>
    <row r="383" spans="3:3" s="3" customFormat="1" ht="15" customHeight="1" x14ac:dyDescent="0.2">
      <c r="C383" s="21"/>
    </row>
    <row r="384" spans="3:3" s="3" customFormat="1" ht="15" customHeight="1" x14ac:dyDescent="0.2">
      <c r="C384" s="21"/>
    </row>
    <row r="385" s="3" customFormat="1" ht="15" customHeight="1" x14ac:dyDescent="0.2"/>
    <row r="386" s="3" customFormat="1" ht="15" customHeight="1" x14ac:dyDescent="0.2"/>
    <row r="387" s="3" customFormat="1" ht="15" customHeight="1" x14ac:dyDescent="0.2"/>
    <row r="388" s="3" customFormat="1" ht="15" customHeight="1" x14ac:dyDescent="0.2"/>
    <row r="389" s="3" customFormat="1" ht="15" customHeight="1" x14ac:dyDescent="0.2"/>
    <row r="390" s="3" customFormat="1" ht="15" customHeight="1" x14ac:dyDescent="0.2"/>
    <row r="391" s="3" customFormat="1" ht="15" customHeight="1" x14ac:dyDescent="0.2"/>
    <row r="392" s="3" customFormat="1" ht="15" customHeight="1" x14ac:dyDescent="0.2"/>
    <row r="393" s="3" customFormat="1" ht="15" customHeight="1" x14ac:dyDescent="0.2"/>
    <row r="394" s="3" customFormat="1" ht="15" customHeight="1" x14ac:dyDescent="0.2"/>
    <row r="395" s="3" customFormat="1" ht="15" customHeight="1" x14ac:dyDescent="0.2"/>
    <row r="396" s="3" customFormat="1" ht="15" customHeight="1" x14ac:dyDescent="0.2"/>
    <row r="397" s="3" customFormat="1" ht="15" customHeight="1" x14ac:dyDescent="0.2"/>
    <row r="398" s="3" customFormat="1" ht="15" customHeight="1" x14ac:dyDescent="0.2"/>
    <row r="399" s="3" customFormat="1" ht="15" customHeight="1" x14ac:dyDescent="0.2"/>
    <row r="400" s="3" customFormat="1" ht="15" customHeight="1" x14ac:dyDescent="0.2"/>
    <row r="401" s="3" customFormat="1" ht="15" customHeight="1" x14ac:dyDescent="0.2"/>
    <row r="402" s="3" customFormat="1" ht="15" customHeight="1" x14ac:dyDescent="0.2"/>
    <row r="403" s="3" customFormat="1" ht="15" customHeight="1" x14ac:dyDescent="0.2"/>
    <row r="404" s="3" customFormat="1" ht="15" customHeight="1" x14ac:dyDescent="0.2"/>
    <row r="405" s="3" customFormat="1" ht="15" customHeight="1" x14ac:dyDescent="0.2"/>
    <row r="406" s="3" customFormat="1" ht="15" customHeight="1" x14ac:dyDescent="0.2"/>
    <row r="407" s="3" customFormat="1" ht="15" customHeight="1" x14ac:dyDescent="0.2"/>
    <row r="408" s="3" customFormat="1" ht="15" customHeight="1" x14ac:dyDescent="0.2"/>
    <row r="409" s="3" customFormat="1" ht="15" customHeight="1" x14ac:dyDescent="0.2"/>
    <row r="410" s="3" customFormat="1" ht="15" customHeight="1" x14ac:dyDescent="0.2"/>
    <row r="411" s="3" customFormat="1" ht="15" customHeight="1" x14ac:dyDescent="0.2"/>
    <row r="412" s="3" customFormat="1" ht="15" customHeight="1" x14ac:dyDescent="0.2"/>
    <row r="413" s="3" customFormat="1" ht="15" customHeight="1" x14ac:dyDescent="0.2"/>
    <row r="414" s="3" customFormat="1" ht="15" customHeight="1" x14ac:dyDescent="0.2"/>
    <row r="415" s="3" customFormat="1" ht="15" customHeight="1" x14ac:dyDescent="0.2"/>
    <row r="416" s="3" customFormat="1" ht="15" customHeight="1" x14ac:dyDescent="0.2"/>
    <row r="417" s="3" customFormat="1" ht="15" customHeight="1" x14ac:dyDescent="0.2"/>
    <row r="418" s="3" customFormat="1" ht="15" customHeight="1" x14ac:dyDescent="0.2"/>
    <row r="419" s="3" customFormat="1" ht="15" customHeight="1" x14ac:dyDescent="0.2"/>
  </sheetData>
  <mergeCells count="36">
    <mergeCell ref="U6:U7"/>
    <mergeCell ref="AE6:AE7"/>
    <mergeCell ref="AF6:AF7"/>
    <mergeCell ref="AG6:AG7"/>
    <mergeCell ref="AH6:AH7"/>
    <mergeCell ref="X6:X7"/>
    <mergeCell ref="Y6:Y7"/>
    <mergeCell ref="Z6:Z7"/>
    <mergeCell ref="AA6:AA7"/>
    <mergeCell ref="AB6:AB7"/>
    <mergeCell ref="AD6:AD7"/>
    <mergeCell ref="AD5:AH5"/>
    <mergeCell ref="F6:F7"/>
    <mergeCell ref="G6:G7"/>
    <mergeCell ref="H6:H7"/>
    <mergeCell ref="I6:I7"/>
    <mergeCell ref="J6:J7"/>
    <mergeCell ref="Q5:Q7"/>
    <mergeCell ref="V6:V7"/>
    <mergeCell ref="R5:V5"/>
    <mergeCell ref="W5:W7"/>
    <mergeCell ref="X5:AB5"/>
    <mergeCell ref="AC5:AC7"/>
    <mergeCell ref="P6:P7"/>
    <mergeCell ref="R6:R7"/>
    <mergeCell ref="S6:S7"/>
    <mergeCell ref="T6:T7"/>
    <mergeCell ref="A5:D7"/>
    <mergeCell ref="E5:E7"/>
    <mergeCell ref="F5:J5"/>
    <mergeCell ref="K5:K7"/>
    <mergeCell ref="L5:P5"/>
    <mergeCell ref="L6:L7"/>
    <mergeCell ref="M6:M7"/>
    <mergeCell ref="N6:N7"/>
    <mergeCell ref="O6:O7"/>
  </mergeCells>
  <printOptions horizontalCentered="1"/>
  <pageMargins left="0.25" right="0.25" top="0.75" bottom="0.75" header="0.3" footer="0.3"/>
  <pageSetup paperSize="9" scale="49" fitToWidth="3" orientation="portrait" horizontalDpi="4294967294" r:id="rId1"/>
  <colBreaks count="4" manualBreakCount="4">
    <brk id="10" max="60" man="1"/>
    <brk id="16" max="60" man="1"/>
    <brk id="22" max="60" man="1"/>
    <brk id="28" max="6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summary</vt:lpstr>
      <vt:lpstr>summary!Print_Area</vt:lpstr>
      <vt:lpstr>summary!Print_Titles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Van Estrella</dc:creator>
  <cp:lastModifiedBy>Miguel Van Estrella</cp:lastModifiedBy>
  <cp:lastPrinted>2025-02-11T11:21:51Z</cp:lastPrinted>
  <dcterms:created xsi:type="dcterms:W3CDTF">2025-02-11T10:12:53Z</dcterms:created>
  <dcterms:modified xsi:type="dcterms:W3CDTF">2025-02-13T01:11:23Z</dcterms:modified>
</cp:coreProperties>
</file>